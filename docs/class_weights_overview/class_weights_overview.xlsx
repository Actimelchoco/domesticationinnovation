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s\Documents\Workspace\DomesticationInnovation-main\docs\class_weights_overview\"/>
    </mc:Choice>
  </mc:AlternateContent>
  <xr:revisionPtr revIDLastSave="0" documentId="8_{4A0F3435-526E-4C14-95B3-B24F5E25A038}" xr6:coauthVersionLast="47" xr6:coauthVersionMax="47" xr10:uidLastSave="{00000000-0000-0000-0000-000000000000}"/>
  <bookViews>
    <workbookView xWindow="-110" yWindow="-110" windowWidth="25820" windowHeight="15500" xr2:uid="{AA190375-E572-457E-9A9A-CFF6240D84F7}"/>
  </bookViews>
  <sheets>
    <sheet name="class_view" sheetId="7" r:id="rId1"/>
    <sheet name="base_stats" sheetId="3" r:id="rId2"/>
    <sheet name="attributes" sheetId="4" r:id="rId3"/>
    <sheet name="abilities" sheetId="5" r:id="rId4"/>
    <sheet name="meta" sheetId="6" r:id="rId5"/>
    <sheet name="categorie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7" l="1"/>
  <c r="N6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K36" i="7"/>
  <c r="J36" i="7"/>
  <c r="K35" i="7"/>
  <c r="J35" i="7"/>
  <c r="K34" i="7"/>
  <c r="J34" i="7"/>
  <c r="K33" i="7"/>
  <c r="J33" i="7"/>
  <c r="K32" i="7"/>
  <c r="J32" i="7"/>
  <c r="K31" i="7"/>
  <c r="J31" i="7"/>
  <c r="K30" i="7"/>
  <c r="J30" i="7"/>
  <c r="K29" i="7"/>
  <c r="J29" i="7"/>
  <c r="K28" i="7"/>
  <c r="J28" i="7"/>
  <c r="K27" i="7"/>
  <c r="J27" i="7"/>
  <c r="K26" i="7"/>
  <c r="J26" i="7"/>
  <c r="K25" i="7"/>
  <c r="J25" i="7"/>
  <c r="K24" i="7"/>
  <c r="J24" i="7"/>
  <c r="K23" i="7"/>
  <c r="J23" i="7"/>
  <c r="K22" i="7"/>
  <c r="J22" i="7"/>
  <c r="K21" i="7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B8" i="7"/>
  <c r="B7" i="7"/>
  <c r="B6" i="7"/>
</calcChain>
</file>

<file path=xl/sharedStrings.xml><?xml version="1.0" encoding="utf-8"?>
<sst xmlns="http://schemas.openxmlformats.org/spreadsheetml/2006/main" count="148" uniqueCount="114">
  <si>
    <t>class</t>
  </si>
  <si>
    <t>base</t>
  </si>
  <si>
    <t>attribute</t>
  </si>
  <si>
    <t>ability</t>
  </si>
  <si>
    <t>assassin</t>
  </si>
  <si>
    <t>attributer</t>
  </si>
  <si>
    <t>dps</t>
  </si>
  <si>
    <t>mage</t>
  </si>
  <si>
    <t>maniac</t>
  </si>
  <si>
    <t>shooter</t>
  </si>
  <si>
    <t>supporter</t>
  </si>
  <si>
    <t>tanker</t>
  </si>
  <si>
    <t>armor</t>
  </si>
  <si>
    <t>armor_toughness</t>
  </si>
  <si>
    <t>damage</t>
  </si>
  <si>
    <t>hp</t>
  </si>
  <si>
    <t>knockback</t>
  </si>
  <si>
    <t>knockback_resist</t>
  </si>
  <si>
    <t>speed</t>
  </si>
  <si>
    <t>ability_power</t>
  </si>
  <si>
    <t>amphibious</t>
  </si>
  <si>
    <t>bane_of_arthropods</t>
  </si>
  <si>
    <t>blazing_protection</t>
  </si>
  <si>
    <t>bubbling</t>
  </si>
  <si>
    <t>chain_lightning</t>
  </si>
  <si>
    <t>charisma</t>
  </si>
  <si>
    <t>fire_resistance</t>
  </si>
  <si>
    <t>firefang</t>
  </si>
  <si>
    <t>frost_fang</t>
  </si>
  <si>
    <t>health_siphon</t>
  </si>
  <si>
    <t>herding</t>
  </si>
  <si>
    <t>killer</t>
  </si>
  <si>
    <t>killexploder</t>
  </si>
  <si>
    <t>lifesteal</t>
  </si>
  <si>
    <t>lightningfang</t>
  </si>
  <si>
    <t>linked_inventory</t>
  </si>
  <si>
    <t>magnetic</t>
  </si>
  <si>
    <t>muffled</t>
  </si>
  <si>
    <t>ore_scenting</t>
  </si>
  <si>
    <t>pacifist</t>
  </si>
  <si>
    <t>pierce</t>
  </si>
  <si>
    <t>poison_fang</t>
  </si>
  <si>
    <t>poison_resistance</t>
  </si>
  <si>
    <t>positive_effect_steal</t>
  </si>
  <si>
    <t>regeneration</t>
  </si>
  <si>
    <t>rejuvenation</t>
  </si>
  <si>
    <t>resistance</t>
  </si>
  <si>
    <t>smite</t>
  </si>
  <si>
    <t>strength</t>
  </si>
  <si>
    <t>sweeping_edge</t>
  </si>
  <si>
    <t>totem</t>
  </si>
  <si>
    <t>victim_siphon</t>
  </si>
  <si>
    <t>void_cloud</t>
  </si>
  <si>
    <t>warping_bite</t>
  </si>
  <si>
    <t>witherfang</t>
  </si>
  <si>
    <t>arrow_shot</t>
  </si>
  <si>
    <t>battle_strength</t>
  </si>
  <si>
    <t>battlefield_medic</t>
  </si>
  <si>
    <t>berserker</t>
  </si>
  <si>
    <t>blaze_attack</t>
  </si>
  <si>
    <t>bloodlust</t>
  </si>
  <si>
    <t>body_block</t>
  </si>
  <si>
    <t>cleanse_touch</t>
  </si>
  <si>
    <t>crossbow</t>
  </si>
  <si>
    <t>dash</t>
  </si>
  <si>
    <t>defensive_aura</t>
  </si>
  <si>
    <t>deflection</t>
  </si>
  <si>
    <t>defusal</t>
  </si>
  <si>
    <t>dragon_fireball</t>
  </si>
  <si>
    <t>elder_guardian_beam</t>
  </si>
  <si>
    <t>emergency_shield</t>
  </si>
  <si>
    <t>ender_pearl_jump</t>
  </si>
  <si>
    <t>evoker_fangs</t>
  </si>
  <si>
    <t>ghast_fireball</t>
  </si>
  <si>
    <t>guardian_beam</t>
  </si>
  <si>
    <t>guardian_intercept</t>
  </si>
  <si>
    <t>guardian_repulse</t>
  </si>
  <si>
    <t>healing_aura</t>
  </si>
  <si>
    <t>healing_bottle</t>
  </si>
  <si>
    <t>immunity_frame</t>
  </si>
  <si>
    <t>last_stand_fury</t>
  </si>
  <si>
    <t>life_gift</t>
  </si>
  <si>
    <t>lightning_strike</t>
  </si>
  <si>
    <t>llama_spit</t>
  </si>
  <si>
    <t>psychic_wall</t>
  </si>
  <si>
    <t>retaliation_slow</t>
  </si>
  <si>
    <t>shadow_hands</t>
  </si>
  <si>
    <t>shield_block</t>
  </si>
  <si>
    <t>shulker_bullet</t>
  </si>
  <si>
    <t>snowball_shot</t>
  </si>
  <si>
    <t>trident</t>
  </si>
  <si>
    <t>warden_scream</t>
  </si>
  <si>
    <t>wither_skull</t>
  </si>
  <si>
    <t>key</t>
  </si>
  <si>
    <t>value</t>
  </si>
  <si>
    <t>preferredAttributeWeightMultiplier</t>
  </si>
  <si>
    <t>preferredAbilityWeightMultiplier</t>
  </si>
  <si>
    <t>defaultCategory.base</t>
  </si>
  <si>
    <t>defaultCategory.attribute</t>
  </si>
  <si>
    <t>defaultCategory.ability</t>
  </si>
  <si>
    <t>defaultBaseStat.armor</t>
  </si>
  <si>
    <t>defaultBaseStat.armor_toughness</t>
  </si>
  <si>
    <t>defaultBaseStat.damage</t>
  </si>
  <si>
    <t>defaultBaseStat.hp</t>
  </si>
  <si>
    <t>defaultBaseStat.knockback</t>
  </si>
  <si>
    <t>defaultBaseStat.knockback_resist</t>
  </si>
  <si>
    <t>defaultBaseStat.speed</t>
  </si>
  <si>
    <t>Class Overview</t>
  </si>
  <si>
    <t>Selected class</t>
  </si>
  <si>
    <t>Categories</t>
  </si>
  <si>
    <t>Base Stats</t>
  </si>
  <si>
    <t>Attributes</t>
  </si>
  <si>
    <t>Abilities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</si>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</sst>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,###"/>
    <numFmt numFmtId="165" formatCode="#,#00\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E3E0D0"/>
        <bgColor indexed="64"/>
      </patternFill>
    </fill>
    <fill>
      <patternFill patternType="solid">
        <fgColor rgb="FFCCCCF4"/>
        <bgColor indexed="64"/>
      </patternFill>
    </fill>
    <fill>
      <patternFill patternType="solid">
        <fgColor rgb="FFCCF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2" fillId="0" borderId="0" xfId="0" applyFont="1"/>
    <xf numFmtId="0" fontId="0" fillId="5" borderId="0" xfId="0" applyFill="1"/>
    <xf numFmtId="0" fontId="1" fillId="5" borderId="0" xfId="0" applyFont="1" applyFill="1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</cellXfs>
  <cellStyles count="1">
    <cellStyle name="Standard" xfId="0" builtinId="0"/>
  </cellStyles>
  <dxfs count="92">
    <dxf>
      <numFmt numFmtId="164" formatCode="00,##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3EAD9"/>
        </patternFill>
      </fill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3EAD9"/>
        </patternFill>
      </fill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3EAD9"/>
        </patternFill>
      </fill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numFmt numFmtId="164" formatCode="00,##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3EAD9"/>
        </patternFill>
      </fill>
      <alignment horizontal="center" vertical="bottom" textRotation="0" wrapText="0" indent="0" justifyLastLine="0" shrinkToFit="0" readingOrder="0"/>
    </dxf>
    <dxf>
      <numFmt numFmtId="165" formatCode="#,#00\%"/>
      <fill>
        <patternFill patternType="solid">
          <fgColor indexed="64"/>
          <bgColor rgb="FFCCCCF4"/>
        </patternFill>
      </fill>
      <alignment horizontal="center" vertical="bottom" textRotation="0" wrapText="0" indent="0" justifyLastLine="0" shrinkToFit="0" readingOrder="0"/>
    </dxf>
    <dxf>
      <numFmt numFmtId="165" formatCode="#,#00\%"/>
      <fill>
        <patternFill patternType="solid">
          <fgColor indexed="64"/>
          <bgColor rgb="FFE3E0D0"/>
        </patternFill>
      </fill>
      <alignment horizontal="center" vertical="bottom" textRotation="0" wrapText="0" indent="0" justifyLastLine="0" shrinkToFit="0" readingOrder="0"/>
    </dxf>
    <dxf>
      <numFmt numFmtId="165" formatCode="#,#00\%"/>
      <fill>
        <patternFill patternType="solid">
          <fgColor indexed="64"/>
          <bgColor rgb="FFD3EAD9"/>
        </patternFill>
      </fill>
      <alignment horizontal="center" vertical="bottom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3EAD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19BE38-B139-4EC3-A0D7-CC2A54B319D4}" name="tbl_base_stats" displayName="tbl_base_stats" ref="A1:H9" totalsRowShown="0" headerRowDxfId="86">
  <autoFilter ref="A1:H9" xr:uid="{ED19BE38-B139-4EC3-A0D7-CC2A54B319D4}"/>
  <tableColumns count="8">
    <tableColumn id="1" xr3:uid="{A491538F-95EA-436A-8CF6-5B9E94177CF7}" name="class"/>
    <tableColumn id="2" xr3:uid="{6134AF4B-AA0F-4171-AE5F-4A0EEA8704FB}" name="armor" dataDxfId="85"/>
    <tableColumn id="3" xr3:uid="{BBF7A2C1-0E47-4CEA-8586-E5F910E608CC}" name="armor_toughness" dataDxfId="84"/>
    <tableColumn id="4" xr3:uid="{A24F0368-6CD3-47C6-BD3F-742002554B1E}" name="damage" dataDxfId="83"/>
    <tableColumn id="5" xr3:uid="{BF5B989E-ABA1-45B1-809E-B90F9DEE56F6}" name="hp" dataDxfId="82"/>
    <tableColumn id="6" xr3:uid="{50F5C098-0DD8-4C48-9C1E-3AB6222509FB}" name="knockback" dataDxfId="81"/>
    <tableColumn id="7" xr3:uid="{DCFC9E87-EAE7-430F-BB30-99EF80728012}" name="knockback_resist" dataDxfId="80"/>
    <tableColumn id="8" xr3:uid="{1C61EE28-6BD2-41E8-994F-678134C7D0CD}" name="speed" dataDxfId="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4120BB-0924-476E-9E6F-025BB28576CB}" name="tbl_attributes" displayName="tbl_attributes" ref="A1:AL9" totalsRowShown="0" headerRowDxfId="78">
  <autoFilter ref="A1:AL9" xr:uid="{294120BB-0924-476E-9E6F-025BB28576CB}"/>
  <tableColumns count="38">
    <tableColumn id="1" xr3:uid="{11E8922C-59E5-45F4-81FE-0390B3E28A09}" name="class"/>
    <tableColumn id="2" xr3:uid="{A55E302D-13CB-4A76-845C-90CD6EFF82D9}" name="ability_power" dataDxfId="77"/>
    <tableColumn id="3" xr3:uid="{D2B2C24A-63CF-4E11-9588-40DDC8E3F2FA}" name="amphibious" dataDxfId="76"/>
    <tableColumn id="4" xr3:uid="{D80F9DFE-0B41-441B-9341-D902F7850D28}" name="bane_of_arthropods" dataDxfId="75"/>
    <tableColumn id="5" xr3:uid="{2571BCF0-7F28-40F5-A82E-161A55BAE45B}" name="blazing_protection" dataDxfId="74"/>
    <tableColumn id="6" xr3:uid="{7F4D026A-3D37-4559-B725-B427E2AEBFC1}" name="bubbling" dataDxfId="73"/>
    <tableColumn id="7" xr3:uid="{C7B194B7-5565-42E3-97A1-0A139A566B70}" name="chain_lightning" dataDxfId="72"/>
    <tableColumn id="8" xr3:uid="{EC690413-F22D-4081-9C89-77DB082677C3}" name="charisma" dataDxfId="71"/>
    <tableColumn id="9" xr3:uid="{1CDF7813-3014-4AC9-A187-B474BAA3493C}" name="fire_resistance" dataDxfId="70"/>
    <tableColumn id="10" xr3:uid="{77DAA41B-8D91-4E9B-B481-BE904CE405D1}" name="firefang" dataDxfId="69"/>
    <tableColumn id="11" xr3:uid="{32B43F33-BAF7-4C82-8791-D8016E6BE2F3}" name="frost_fang" dataDxfId="68"/>
    <tableColumn id="12" xr3:uid="{27DF11E4-9775-405F-947D-E26AA32659D1}" name="health_siphon" dataDxfId="67"/>
    <tableColumn id="13" xr3:uid="{2B78CECB-ADD0-43E2-A061-04DED9D8FAF0}" name="herding" dataDxfId="66"/>
    <tableColumn id="14" xr3:uid="{D41BAA2F-3A09-40B3-B9E4-6DC771C462F4}" name="killer" dataDxfId="65"/>
    <tableColumn id="15" xr3:uid="{B0681F3E-7F0B-42F7-9344-1BBC88D8810C}" name="killexploder" dataDxfId="64"/>
    <tableColumn id="16" xr3:uid="{D490BB2A-6DD2-4476-8764-85DE1416C207}" name="lifesteal" dataDxfId="63"/>
    <tableColumn id="17" xr3:uid="{0D149667-98C6-4DC0-B7AB-9EB6ACD0ADCA}" name="lightningfang" dataDxfId="62"/>
    <tableColumn id="18" xr3:uid="{E11DB354-F5F6-4E46-B4AC-6C5A4BDF27F4}" name="linked_inventory" dataDxfId="61"/>
    <tableColumn id="19" xr3:uid="{2CDC4260-E05B-482A-A499-25B37DD568AF}" name="magnetic" dataDxfId="60"/>
    <tableColumn id="20" xr3:uid="{47B2AA08-8856-4ADB-B382-8A99AD6270ED}" name="muffled" dataDxfId="59"/>
    <tableColumn id="21" xr3:uid="{50CE65C1-625E-4805-8875-8C21B6E189B6}" name="ore_scenting" dataDxfId="58"/>
    <tableColumn id="22" xr3:uid="{CAC4054C-FEF8-411E-9A76-E9B13A918509}" name="pacifist" dataDxfId="57"/>
    <tableColumn id="23" xr3:uid="{C3C50241-D67C-40FE-A94F-48978F6EA008}" name="pierce" dataDxfId="56"/>
    <tableColumn id="24" xr3:uid="{7BE3F14E-60B0-4C2F-B0CE-8B657FDD0568}" name="poison_fang" dataDxfId="55"/>
    <tableColumn id="25" xr3:uid="{ED373C51-94E5-4942-96CD-4FFACFA7B90F}" name="poison_resistance" dataDxfId="54"/>
    <tableColumn id="26" xr3:uid="{90AAA22F-A39F-4C62-8278-89511D786B93}" name="positive_effect_steal" dataDxfId="53"/>
    <tableColumn id="27" xr3:uid="{5A520B65-85C6-4E07-A3F7-50DF91FD08B2}" name="regeneration" dataDxfId="52"/>
    <tableColumn id="28" xr3:uid="{B7E9EB33-A589-45A0-A16B-E96E973B2EF5}" name="rejuvenation" dataDxfId="51"/>
    <tableColumn id="29" xr3:uid="{2FF87EC5-3242-48E8-B08E-8DC5DBA55DA5}" name="resistance" dataDxfId="50"/>
    <tableColumn id="30" xr3:uid="{5F12279A-B054-4A52-956E-C60946A8D212}" name="smite" dataDxfId="49"/>
    <tableColumn id="31" xr3:uid="{5D710DBF-2574-484F-B5B3-0D47A54D3C97}" name="speed" dataDxfId="48"/>
    <tableColumn id="32" xr3:uid="{3764AC3A-E1F6-419E-B52C-858B31E090DE}" name="strength" dataDxfId="47"/>
    <tableColumn id="33" xr3:uid="{E0040B12-ABA4-4E82-A338-5E89C1156579}" name="sweeping_edge" dataDxfId="46"/>
    <tableColumn id="34" xr3:uid="{029C88C1-D13C-419F-9C71-BC22DBD6423B}" name="totem" dataDxfId="45"/>
    <tableColumn id="35" xr3:uid="{32B30AAD-432A-4AAA-BF1B-A232378871C2}" name="victim_siphon" dataDxfId="44"/>
    <tableColumn id="36" xr3:uid="{8CB5427F-CA8B-4898-A67F-F2F45E9703EC}" name="void_cloud" dataDxfId="43"/>
    <tableColumn id="37" xr3:uid="{747C07BD-6A2B-4FF3-84EA-27B5F22B6F7A}" name="warping_bite" dataDxfId="42"/>
    <tableColumn id="38" xr3:uid="{E0918CDE-CACB-4FE1-AFC3-2D7E03291DA8}" name="witherfang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62E08E-5636-4484-AF3B-4B951CFD33EB}" name="tbl_abilities" displayName="tbl_abilities" ref="A1:AM9" totalsRowShown="0" headerRowDxfId="40">
  <autoFilter ref="A1:AM9" xr:uid="{A962E08E-5636-4484-AF3B-4B951CFD33EB}"/>
  <tableColumns count="39">
    <tableColumn id="1" xr3:uid="{62FCEB34-6107-4579-9924-689DFFE19090}" name="class"/>
    <tableColumn id="2" xr3:uid="{A6C9323A-336F-40ED-8071-369DA5B4A62C}" name="arrow_shot" dataDxfId="39"/>
    <tableColumn id="3" xr3:uid="{5E44E532-9D81-47B1-B58C-ADB09059D24E}" name="battle_strength" dataDxfId="38"/>
    <tableColumn id="4" xr3:uid="{2E92CBE8-7DD6-4FED-9087-A73BA07D9DCF}" name="battlefield_medic" dataDxfId="37"/>
    <tableColumn id="5" xr3:uid="{7C5FB6A3-54A9-4CB5-A9F6-F66D27917E6B}" name="berserker" dataDxfId="36"/>
    <tableColumn id="6" xr3:uid="{55ECD29F-9A0F-43CB-B6D3-1152E05BDB11}" name="blaze_attack" dataDxfId="35"/>
    <tableColumn id="7" xr3:uid="{CAD1E5BB-C53F-4D6C-8BF3-984AD287AD5B}" name="bloodlust" dataDxfId="34"/>
    <tableColumn id="8" xr3:uid="{1B2E1A7B-BF76-432C-BACC-947FA80DCA65}" name="body_block" dataDxfId="33"/>
    <tableColumn id="9" xr3:uid="{7F04BA08-433E-4DBA-90DC-46BF8413D14D}" name="cleanse_touch" dataDxfId="32"/>
    <tableColumn id="10" xr3:uid="{CF1E410C-D2CA-4D49-8D2C-25402361529B}" name="crossbow" dataDxfId="31"/>
    <tableColumn id="11" xr3:uid="{42A19780-68EA-479E-94A3-74C8C5539FDC}" name="dash" dataDxfId="30"/>
    <tableColumn id="12" xr3:uid="{09CD149A-FA45-439E-9488-ACE24FEE239C}" name="defensive_aura" dataDxfId="29"/>
    <tableColumn id="13" xr3:uid="{E65F3155-1E68-460F-8154-C443ED058057}" name="deflection" dataDxfId="28"/>
    <tableColumn id="14" xr3:uid="{1C46EB62-B61B-49EA-BB65-1516C997E22A}" name="defusal" dataDxfId="27"/>
    <tableColumn id="15" xr3:uid="{40CC9BFF-F1F9-41EE-A92B-E9A06CC75F86}" name="dragon_fireball" dataDxfId="26"/>
    <tableColumn id="16" xr3:uid="{E7D75898-0CA0-4BEC-A880-45311E45105D}" name="elder_guardian_beam" dataDxfId="25"/>
    <tableColumn id="17" xr3:uid="{2430CE2B-CEC6-4B5A-8F25-B0C96BE74329}" name="emergency_shield" dataDxfId="24"/>
    <tableColumn id="18" xr3:uid="{B14BE530-1E8A-42B9-B0B3-C530FF6582BD}" name="ender_pearl_jump" dataDxfId="23"/>
    <tableColumn id="19" xr3:uid="{1DFA36BA-33B6-4289-A5C7-D964D1DC2649}" name="evoker_fangs" dataDxfId="22"/>
    <tableColumn id="20" xr3:uid="{B94BAA76-2CE8-44BC-A7FD-3BE4BCFAA88C}" name="ghast_fireball" dataDxfId="21"/>
    <tableColumn id="21" xr3:uid="{81AF3519-510B-4EE3-AD8B-E5253F519931}" name="guardian_beam" dataDxfId="20"/>
    <tableColumn id="22" xr3:uid="{FB1C644A-38DD-4E7D-A2B7-1F5FAC38BB36}" name="guardian_intercept" dataDxfId="19"/>
    <tableColumn id="23" xr3:uid="{ABF33F8C-2301-42B4-B346-DAED5F8BE274}" name="guardian_repulse" dataDxfId="18"/>
    <tableColumn id="24" xr3:uid="{C4D21BB7-3300-418D-A6A2-1E2C489FEEB5}" name="healing_aura" dataDxfId="17"/>
    <tableColumn id="25" xr3:uid="{D7736EE9-DD9C-4DC6-A3B8-654D831EC327}" name="healing_bottle" dataDxfId="16"/>
    <tableColumn id="26" xr3:uid="{C2248951-507F-4D10-8A48-03DB46DAC5BE}" name="immunity_frame" dataDxfId="15"/>
    <tableColumn id="27" xr3:uid="{362507C2-7F35-4F67-BF6B-92BA98C7DB72}" name="last_stand_fury" dataDxfId="14"/>
    <tableColumn id="28" xr3:uid="{A9418172-72B3-4FE9-A7AD-9112403AB58B}" name="life_gift" dataDxfId="13"/>
    <tableColumn id="29" xr3:uid="{9CDD48FF-F7A2-41A1-BC5E-CD41BBE6EA6B}" name="lightning_strike" dataDxfId="12"/>
    <tableColumn id="30" xr3:uid="{CCEA3240-12AF-40FC-868E-7FEE614869FA}" name="llama_spit" dataDxfId="11"/>
    <tableColumn id="31" xr3:uid="{727A6101-6436-4EA4-BF6B-509712639D0C}" name="psychic_wall" dataDxfId="10"/>
    <tableColumn id="32" xr3:uid="{12D2E744-5116-4F9B-BED7-7712420D542D}" name="retaliation_slow" dataDxfId="9"/>
    <tableColumn id="33" xr3:uid="{799EA505-A809-4930-8B08-2204B5AC8E99}" name="shadow_hands" dataDxfId="8"/>
    <tableColumn id="34" xr3:uid="{E2EDA9E0-CAE7-41C6-979A-DFE5915195C7}" name="shield_block" dataDxfId="7"/>
    <tableColumn id="35" xr3:uid="{EB08FDC2-7B76-4699-8C2A-CEDE076836E8}" name="shulker_bullet" dataDxfId="6"/>
    <tableColumn id="36" xr3:uid="{F61BB736-28D3-4F35-8330-9B6F397576ED}" name="snowball_shot" dataDxfId="5"/>
    <tableColumn id="37" xr3:uid="{4FBF5D17-CB15-407E-BAB0-E0DD1D66B2F1}" name="trident" dataDxfId="4"/>
    <tableColumn id="38" xr3:uid="{DA64486D-41AA-44BE-985D-48394E1908BD}" name="warden_scream" dataDxfId="3"/>
    <tableColumn id="39" xr3:uid="{02719B00-554D-48B5-963E-BD4D6DD6DA00}" name="wither_skull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D7C2E8-2DEA-45CA-BB5B-17B53CD6FCE9}" name="tbl_meta" displayName="tbl_meta" ref="A1:B13" totalsRowShown="0" headerRowDxfId="1">
  <autoFilter ref="A1:B13" xr:uid="{90D7C2E8-2DEA-45CA-BB5B-17B53CD6FCE9}"/>
  <tableColumns count="2">
    <tableColumn id="1" xr3:uid="{D2D9DEC5-F83D-415B-AD9C-F89A5AC29C0E}" name="key"/>
    <tableColumn id="2" xr3:uid="{83D40149-6D1A-41B5-9A97-244D4BDD85D6}" name="value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8D1EC-036C-42BB-9F81-698C6BC25C5D}" name="tbl_categories" displayName="tbl_categories" ref="A1:D9" totalsRowShown="0" headerRowDxfId="91">
  <autoFilter ref="A1:D9" xr:uid="{2DB8D1EC-036C-42BB-9F81-698C6BC25C5D}"/>
  <tableColumns count="4">
    <tableColumn id="1" xr3:uid="{DE397325-E50C-4F08-91B4-DFE6413F1BB7}" name="class" dataDxfId="90"/>
    <tableColumn id="2" xr3:uid="{C7FFDA14-86FB-4B9B-8AB4-56E148D347DB}" name="base" dataDxfId="89"/>
    <tableColumn id="3" xr3:uid="{CDCA977F-F4EA-46EB-AC21-A933F82E5291}" name="attribute" dataDxfId="88"/>
    <tableColumn id="4" xr3:uid="{6C72D418-124B-4917-99A6-345424442428}" name="ability" dataDxfId="8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B8EB-A057-4EBB-B662-D56E42269A7C}">
  <dimension ref="A1:N120"/>
  <sheetViews>
    <sheetView tabSelected="1" workbookViewId="0"/>
  </sheetViews>
  <sheetFormatPr baseColWidth="10" defaultRowHeight="14.5" x14ac:dyDescent="0.35"/>
  <cols>
    <col min="1" max="1" width="18.6328125" customWidth="1"/>
    <col min="2" max="2" width="14.6328125" customWidth="1"/>
    <col min="4" max="4" width="24.6328125" customWidth="1"/>
    <col min="5" max="5" width="12.6328125" customWidth="1"/>
    <col min="7" max="7" width="28.6328125" customWidth="1"/>
    <col min="8" max="8" width="12.6328125" customWidth="1"/>
    <col min="10" max="10" width="28.6328125" customWidth="1"/>
    <col min="11" max="11" width="12.6328125" customWidth="1"/>
    <col min="13" max="13" width="34.6328125" customWidth="1"/>
    <col min="14" max="14" width="14.6328125" customWidth="1"/>
  </cols>
  <sheetData>
    <row r="1" spans="1:14" ht="21" x14ac:dyDescent="0.5">
      <c r="A1" s="7" t="s">
        <v>107</v>
      </c>
    </row>
    <row r="3" spans="1:14" x14ac:dyDescent="0.35">
      <c r="A3" s="9" t="s">
        <v>108</v>
      </c>
      <c r="B3" s="8" t="s">
        <v>11</v>
      </c>
    </row>
    <row r="5" spans="1:14" x14ac:dyDescent="0.35">
      <c r="A5" s="10" t="s">
        <v>109</v>
      </c>
      <c r="B5" s="11"/>
      <c r="D5" s="10" t="s">
        <v>110</v>
      </c>
      <c r="E5" s="11"/>
      <c r="G5" s="10" t="s">
        <v>111</v>
      </c>
      <c r="H5" s="11"/>
      <c r="J5" s="10" t="s">
        <v>112</v>
      </c>
      <c r="K5" s="11"/>
      <c r="M5" s="10" t="s">
        <v>113</v>
      </c>
      <c r="N5" s="11"/>
    </row>
    <row r="6" spans="1:14" x14ac:dyDescent="0.35">
      <c r="A6" s="11" t="s">
        <v>1</v>
      </c>
      <c r="B6" s="12">
        <f>IFERROR(VLOOKUP($B$3,categories!$A:$D,2,FALSE),"")</f>
        <v>90</v>
      </c>
      <c r="D6" s="11" t="str">
        <f>INDEX(base_stats!$1:$1,2)</f>
        <v>armor</v>
      </c>
      <c r="E6" s="13">
        <f>INDEX(base_stats!$2:$9,MATCH($B$3,base_stats!$A$2:$A$9,0),2)</f>
        <v>3</v>
      </c>
      <c r="G6" s="11" t="str">
        <f>INDEX(attributes!$1:$1,2)</f>
        <v>ability_power</v>
      </c>
      <c r="H6" s="13">
        <f>INDEX(attributes!$2:$9,MATCH($B$3,attributes!$A$2:$A$9,0),2)</f>
        <v>1</v>
      </c>
      <c r="J6" s="11" t="str">
        <f>INDEX(abilities!$1:$1,2)</f>
        <v>arrow_shot</v>
      </c>
      <c r="K6" s="13">
        <f>INDEX(abilities!$2:$9,MATCH($B$3,abilities!$A$2:$A$9,0),2)</f>
        <v>1</v>
      </c>
      <c r="M6" s="11" t="s">
        <v>95</v>
      </c>
      <c r="N6" s="13">
        <f>IFERROR(VLOOKUP("preferredAttributeWeightMultiplier",meta!$A:$B,2,FALSE),"")</f>
        <v>30</v>
      </c>
    </row>
    <row r="7" spans="1:14" x14ac:dyDescent="0.35">
      <c r="A7" s="11" t="s">
        <v>2</v>
      </c>
      <c r="B7" s="12">
        <f>IFERROR(VLOOKUP($B$3,categories!$A:$D,3,FALSE),"")</f>
        <v>10</v>
      </c>
      <c r="D7" s="11" t="str">
        <f>INDEX(base_stats!$1:$1,3)</f>
        <v>armor_toughness</v>
      </c>
      <c r="E7" s="13">
        <f>INDEX(base_stats!$2:$9,MATCH($B$3,base_stats!$A$2:$A$9,0),3)</f>
        <v>3</v>
      </c>
      <c r="G7" s="11" t="str">
        <f>INDEX(attributes!$1:$1,3)</f>
        <v>amphibious</v>
      </c>
      <c r="H7" s="13">
        <f>INDEX(attributes!$2:$9,MATCH($B$3,attributes!$A$2:$A$9,0),3)</f>
        <v>1</v>
      </c>
      <c r="J7" s="11" t="str">
        <f>INDEX(abilities!$1:$1,3)</f>
        <v>battle_strength</v>
      </c>
      <c r="K7" s="13">
        <f>INDEX(abilities!$2:$9,MATCH($B$3,abilities!$A$2:$A$9,0),3)</f>
        <v>1</v>
      </c>
      <c r="M7" s="11" t="s">
        <v>96</v>
      </c>
      <c r="N7" s="13">
        <f>IFERROR(VLOOKUP("preferredAbilityWeightMultiplier",meta!$A:$B,2,FALSE),"")</f>
        <v>9</v>
      </c>
    </row>
    <row r="8" spans="1:14" x14ac:dyDescent="0.35">
      <c r="A8" s="11" t="s">
        <v>3</v>
      </c>
      <c r="B8" s="12">
        <f>IFERROR(VLOOKUP($B$3,categories!$A:$D,4,FALSE),"")</f>
        <v>10</v>
      </c>
      <c r="D8" s="11" t="str">
        <f>INDEX(base_stats!$1:$1,4)</f>
        <v>damage</v>
      </c>
      <c r="E8" s="13">
        <f>INDEX(base_stats!$2:$9,MATCH($B$3,base_stats!$A$2:$A$9,0),4)</f>
        <v>1</v>
      </c>
      <c r="G8" s="11" t="str">
        <f>INDEX(attributes!$1:$1,4)</f>
        <v>bane_of_arthropods</v>
      </c>
      <c r="H8" s="13">
        <f>INDEX(attributes!$2:$9,MATCH($B$3,attributes!$A$2:$A$9,0),4)</f>
        <v>1</v>
      </c>
      <c r="J8" s="11" t="str">
        <f>INDEX(abilities!$1:$1,4)</f>
        <v>battlefield_medic</v>
      </c>
      <c r="K8" s="13">
        <f>INDEX(abilities!$2:$9,MATCH($B$3,abilities!$A$2:$A$9,0),4)</f>
        <v>1</v>
      </c>
    </row>
    <row r="9" spans="1:14" x14ac:dyDescent="0.35">
      <c r="D9" s="11" t="str">
        <f>INDEX(base_stats!$1:$1,5)</f>
        <v>hp</v>
      </c>
      <c r="E9" s="13">
        <f>INDEX(base_stats!$2:$9,MATCH($B$3,base_stats!$A$2:$A$9,0),5)</f>
        <v>3</v>
      </c>
      <c r="G9" s="11" t="str">
        <f>INDEX(attributes!$1:$1,5)</f>
        <v>blazing_protection</v>
      </c>
      <c r="H9" s="13">
        <f>INDEX(attributes!$2:$9,MATCH($B$3,attributes!$A$2:$A$9,0),5)</f>
        <v>4</v>
      </c>
      <c r="J9" s="11" t="str">
        <f>INDEX(abilities!$1:$1,5)</f>
        <v>berserker</v>
      </c>
      <c r="K9" s="13">
        <f>INDEX(abilities!$2:$9,MATCH($B$3,abilities!$A$2:$A$9,0),5)</f>
        <v>1</v>
      </c>
    </row>
    <row r="10" spans="1:14" x14ac:dyDescent="0.35">
      <c r="D10" s="11" t="str">
        <f>INDEX(base_stats!$1:$1,6)</f>
        <v>knockback</v>
      </c>
      <c r="E10" s="13">
        <f>INDEX(base_stats!$2:$9,MATCH($B$3,base_stats!$A$2:$A$9,0),6)</f>
        <v>1</v>
      </c>
      <c r="G10" s="11" t="str">
        <f>INDEX(attributes!$1:$1,6)</f>
        <v>bubbling</v>
      </c>
      <c r="H10" s="13">
        <f>INDEX(attributes!$2:$9,MATCH($B$3,attributes!$A$2:$A$9,0),6)</f>
        <v>1</v>
      </c>
      <c r="J10" s="11" t="str">
        <f>INDEX(abilities!$1:$1,6)</f>
        <v>blaze_attack</v>
      </c>
      <c r="K10" s="13">
        <f>INDEX(abilities!$2:$9,MATCH($B$3,abilities!$A$2:$A$9,0),6)</f>
        <v>1</v>
      </c>
    </row>
    <row r="11" spans="1:14" x14ac:dyDescent="0.35">
      <c r="D11" s="11" t="str">
        <f>INDEX(base_stats!$1:$1,7)</f>
        <v>knockback_resist</v>
      </c>
      <c r="E11" s="13">
        <f>INDEX(base_stats!$2:$9,MATCH($B$3,base_stats!$A$2:$A$9,0),7)</f>
        <v>1</v>
      </c>
      <c r="G11" s="11" t="str">
        <f>INDEX(attributes!$1:$1,7)</f>
        <v>chain_lightning</v>
      </c>
      <c r="H11" s="13">
        <f>INDEX(attributes!$2:$9,MATCH($B$3,attributes!$A$2:$A$9,0),7)</f>
        <v>1</v>
      </c>
      <c r="J11" s="11" t="str">
        <f>INDEX(abilities!$1:$1,7)</f>
        <v>bloodlust</v>
      </c>
      <c r="K11" s="13">
        <f>INDEX(abilities!$2:$9,MATCH($B$3,abilities!$A$2:$A$9,0),7)</f>
        <v>1</v>
      </c>
    </row>
    <row r="12" spans="1:14" x14ac:dyDescent="0.35">
      <c r="D12" s="11" t="str">
        <f>INDEX(base_stats!$1:$1,8)</f>
        <v>speed</v>
      </c>
      <c r="E12" s="13">
        <f>INDEX(base_stats!$2:$9,MATCH($B$3,base_stats!$A$2:$A$9,0),8)</f>
        <v>1</v>
      </c>
      <c r="G12" s="11" t="str">
        <f>INDEX(attributes!$1:$1,8)</f>
        <v>charisma</v>
      </c>
      <c r="H12" s="13">
        <f>INDEX(attributes!$2:$9,MATCH($B$3,attributes!$A$2:$A$9,0),8)</f>
        <v>1</v>
      </c>
      <c r="J12" s="11" t="str">
        <f>INDEX(abilities!$1:$1,8)</f>
        <v>body_block</v>
      </c>
      <c r="K12" s="13">
        <f>INDEX(abilities!$2:$9,MATCH($B$3,abilities!$A$2:$A$9,0),8)</f>
        <v>4</v>
      </c>
    </row>
    <row r="13" spans="1:14" x14ac:dyDescent="0.35">
      <c r="D13" s="11"/>
      <c r="E13" s="13"/>
      <c r="G13" s="11" t="str">
        <f>INDEX(attributes!$1:$1,9)</f>
        <v>fire_resistance</v>
      </c>
      <c r="H13" s="13">
        <f>INDEX(attributes!$2:$9,MATCH($B$3,attributes!$A$2:$A$9,0),9)</f>
        <v>3.8</v>
      </c>
      <c r="J13" s="11" t="str">
        <f>INDEX(abilities!$1:$1,9)</f>
        <v>cleanse_touch</v>
      </c>
      <c r="K13" s="13">
        <f>INDEX(abilities!$2:$9,MATCH($B$3,abilities!$A$2:$A$9,0),9)</f>
        <v>1</v>
      </c>
    </row>
    <row r="14" spans="1:14" x14ac:dyDescent="0.35">
      <c r="D14" s="11"/>
      <c r="E14" s="13"/>
      <c r="G14" s="11" t="str">
        <f>INDEX(attributes!$1:$1,10)</f>
        <v>firefang</v>
      </c>
      <c r="H14" s="13">
        <f>INDEX(attributes!$2:$9,MATCH($B$3,attributes!$A$2:$A$9,0),10)</f>
        <v>1</v>
      </c>
      <c r="J14" s="11" t="str">
        <f>INDEX(abilities!$1:$1,10)</f>
        <v>crossbow</v>
      </c>
      <c r="K14" s="13">
        <f>INDEX(abilities!$2:$9,MATCH($B$3,abilities!$A$2:$A$9,0),10)</f>
        <v>1</v>
      </c>
    </row>
    <row r="15" spans="1:14" x14ac:dyDescent="0.35">
      <c r="D15" s="11"/>
      <c r="E15" s="13"/>
      <c r="G15" s="11" t="str">
        <f>INDEX(attributes!$1:$1,11)</f>
        <v>frost_fang</v>
      </c>
      <c r="H15" s="13">
        <f>INDEX(attributes!$2:$9,MATCH($B$3,attributes!$A$2:$A$9,0),11)</f>
        <v>1</v>
      </c>
      <c r="J15" s="11" t="str">
        <f>INDEX(abilities!$1:$1,11)</f>
        <v>dash</v>
      </c>
      <c r="K15" s="13">
        <f>INDEX(abilities!$2:$9,MATCH($B$3,abilities!$A$2:$A$9,0),11)</f>
        <v>1</v>
      </c>
    </row>
    <row r="16" spans="1:14" x14ac:dyDescent="0.35">
      <c r="D16" s="11"/>
      <c r="E16" s="13"/>
      <c r="G16" s="11" t="str">
        <f>INDEX(attributes!$1:$1,12)</f>
        <v>health_siphon</v>
      </c>
      <c r="H16" s="13">
        <f>INDEX(attributes!$2:$9,MATCH($B$3,attributes!$A$2:$A$9,0),12)</f>
        <v>2.5</v>
      </c>
      <c r="J16" s="11" t="str">
        <f>INDEX(abilities!$1:$1,12)</f>
        <v>defensive_aura</v>
      </c>
      <c r="K16" s="13">
        <f>INDEX(abilities!$2:$9,MATCH($B$3,abilities!$A$2:$A$9,0),12)</f>
        <v>4.8</v>
      </c>
    </row>
    <row r="17" spans="4:11" x14ac:dyDescent="0.35">
      <c r="D17" s="11"/>
      <c r="E17" s="13"/>
      <c r="G17" s="11" t="str">
        <f>INDEX(attributes!$1:$1,13)</f>
        <v>herding</v>
      </c>
      <c r="H17" s="13">
        <f>INDEX(attributes!$2:$9,MATCH($B$3,attributes!$A$2:$A$9,0),13)</f>
        <v>1</v>
      </c>
      <c r="J17" s="11" t="str">
        <f>INDEX(abilities!$1:$1,13)</f>
        <v>deflection</v>
      </c>
      <c r="K17" s="13">
        <f>INDEX(abilities!$2:$9,MATCH($B$3,abilities!$A$2:$A$9,0),13)</f>
        <v>4</v>
      </c>
    </row>
    <row r="18" spans="4:11" x14ac:dyDescent="0.35">
      <c r="D18" s="11"/>
      <c r="E18" s="13"/>
      <c r="G18" s="11" t="str">
        <f>INDEX(attributes!$1:$1,14)</f>
        <v>killer</v>
      </c>
      <c r="H18" s="13">
        <f>INDEX(attributes!$2:$9,MATCH($B$3,attributes!$A$2:$A$9,0),14)</f>
        <v>1</v>
      </c>
      <c r="J18" s="11" t="str">
        <f>INDEX(abilities!$1:$1,14)</f>
        <v>defusal</v>
      </c>
      <c r="K18" s="13">
        <f>INDEX(abilities!$2:$9,MATCH($B$3,abilities!$A$2:$A$9,0),14)</f>
        <v>7</v>
      </c>
    </row>
    <row r="19" spans="4:11" x14ac:dyDescent="0.35">
      <c r="D19" s="11"/>
      <c r="E19" s="13"/>
      <c r="G19" s="11" t="str">
        <f>INDEX(attributes!$1:$1,15)</f>
        <v>killexploder</v>
      </c>
      <c r="H19" s="13">
        <f>INDEX(attributes!$2:$9,MATCH($B$3,attributes!$A$2:$A$9,0),15)</f>
        <v>1</v>
      </c>
      <c r="J19" s="11" t="str">
        <f>INDEX(abilities!$1:$1,15)</f>
        <v>dragon_fireball</v>
      </c>
      <c r="K19" s="13">
        <f>INDEX(abilities!$2:$9,MATCH($B$3,abilities!$A$2:$A$9,0),15)</f>
        <v>1</v>
      </c>
    </row>
    <row r="20" spans="4:11" x14ac:dyDescent="0.35">
      <c r="D20" s="11"/>
      <c r="E20" s="13"/>
      <c r="G20" s="11" t="str">
        <f>INDEX(attributes!$1:$1,16)</f>
        <v>lifesteal</v>
      </c>
      <c r="H20" s="13">
        <f>INDEX(attributes!$2:$9,MATCH($B$3,attributes!$A$2:$A$9,0),16)</f>
        <v>1</v>
      </c>
      <c r="J20" s="11" t="str">
        <f>INDEX(abilities!$1:$1,16)</f>
        <v>elder_guardian_beam</v>
      </c>
      <c r="K20" s="13">
        <f>INDEX(abilities!$2:$9,MATCH($B$3,abilities!$A$2:$A$9,0),16)</f>
        <v>1</v>
      </c>
    </row>
    <row r="21" spans="4:11" x14ac:dyDescent="0.35">
      <c r="D21" s="11"/>
      <c r="E21" s="13"/>
      <c r="G21" s="11" t="str">
        <f>INDEX(attributes!$1:$1,17)</f>
        <v>lightningfang</v>
      </c>
      <c r="H21" s="13">
        <f>INDEX(attributes!$2:$9,MATCH($B$3,attributes!$A$2:$A$9,0),17)</f>
        <v>1</v>
      </c>
      <c r="J21" s="11" t="str">
        <f>INDEX(abilities!$1:$1,17)</f>
        <v>emergency_shield</v>
      </c>
      <c r="K21" s="13">
        <f>INDEX(abilities!$2:$9,MATCH($B$3,abilities!$A$2:$A$9,0),17)</f>
        <v>4</v>
      </c>
    </row>
    <row r="22" spans="4:11" x14ac:dyDescent="0.35">
      <c r="D22" s="11"/>
      <c r="E22" s="13"/>
      <c r="G22" s="11" t="str">
        <f>INDEX(attributes!$1:$1,18)</f>
        <v>linked_inventory</v>
      </c>
      <c r="H22" s="13">
        <f>INDEX(attributes!$2:$9,MATCH($B$3,attributes!$A$2:$A$9,0),18)</f>
        <v>1</v>
      </c>
      <c r="J22" s="11" t="str">
        <f>INDEX(abilities!$1:$1,18)</f>
        <v>ender_pearl_jump</v>
      </c>
      <c r="K22" s="13">
        <f>INDEX(abilities!$2:$9,MATCH($B$3,abilities!$A$2:$A$9,0),18)</f>
        <v>1</v>
      </c>
    </row>
    <row r="23" spans="4:11" x14ac:dyDescent="0.35">
      <c r="D23" s="11"/>
      <c r="E23" s="13"/>
      <c r="G23" s="11" t="str">
        <f>INDEX(attributes!$1:$1,19)</f>
        <v>magnetic</v>
      </c>
      <c r="H23" s="13">
        <f>INDEX(attributes!$2:$9,MATCH($B$3,attributes!$A$2:$A$9,0),19)</f>
        <v>1</v>
      </c>
      <c r="J23" s="11" t="str">
        <f>INDEX(abilities!$1:$1,19)</f>
        <v>evoker_fangs</v>
      </c>
      <c r="K23" s="13">
        <f>INDEX(abilities!$2:$9,MATCH($B$3,abilities!$A$2:$A$9,0),19)</f>
        <v>1</v>
      </c>
    </row>
    <row r="24" spans="4:11" x14ac:dyDescent="0.35">
      <c r="D24" s="11"/>
      <c r="E24" s="13"/>
      <c r="G24" s="11" t="str">
        <f>INDEX(attributes!$1:$1,20)</f>
        <v>muffled</v>
      </c>
      <c r="H24" s="13">
        <f>INDEX(attributes!$2:$9,MATCH($B$3,attributes!$A$2:$A$9,0),20)</f>
        <v>1</v>
      </c>
      <c r="J24" s="11" t="str">
        <f>INDEX(abilities!$1:$1,20)</f>
        <v>ghast_fireball</v>
      </c>
      <c r="K24" s="13">
        <f>INDEX(abilities!$2:$9,MATCH($B$3,abilities!$A$2:$A$9,0),20)</f>
        <v>1</v>
      </c>
    </row>
    <row r="25" spans="4:11" x14ac:dyDescent="0.35">
      <c r="D25" s="11"/>
      <c r="E25" s="13"/>
      <c r="G25" s="11" t="str">
        <f>INDEX(attributes!$1:$1,21)</f>
        <v>ore_scenting</v>
      </c>
      <c r="H25" s="13">
        <f>INDEX(attributes!$2:$9,MATCH($B$3,attributes!$A$2:$A$9,0),21)</f>
        <v>1</v>
      </c>
      <c r="J25" s="11" t="str">
        <f>INDEX(abilities!$1:$1,21)</f>
        <v>guardian_beam</v>
      </c>
      <c r="K25" s="13">
        <f>INDEX(abilities!$2:$9,MATCH($B$3,abilities!$A$2:$A$9,0),21)</f>
        <v>1</v>
      </c>
    </row>
    <row r="26" spans="4:11" x14ac:dyDescent="0.35">
      <c r="D26" s="11"/>
      <c r="E26" s="13"/>
      <c r="G26" s="11" t="str">
        <f>INDEX(attributes!$1:$1,22)</f>
        <v>pacifist</v>
      </c>
      <c r="H26" s="13">
        <f>INDEX(attributes!$2:$9,MATCH($B$3,attributes!$A$2:$A$9,0),22)</f>
        <v>2.8</v>
      </c>
      <c r="J26" s="11" t="str">
        <f>INDEX(abilities!$1:$1,22)</f>
        <v>guardian_intercept</v>
      </c>
      <c r="K26" s="13">
        <f>INDEX(abilities!$2:$9,MATCH($B$3,abilities!$A$2:$A$9,0),22)</f>
        <v>4</v>
      </c>
    </row>
    <row r="27" spans="4:11" x14ac:dyDescent="0.35">
      <c r="D27" s="11"/>
      <c r="E27" s="13"/>
      <c r="G27" s="11" t="str">
        <f>INDEX(attributes!$1:$1,23)</f>
        <v>pierce</v>
      </c>
      <c r="H27" s="13">
        <f>INDEX(attributes!$2:$9,MATCH($B$3,attributes!$A$2:$A$9,0),23)</f>
        <v>1</v>
      </c>
      <c r="J27" s="11" t="str">
        <f>INDEX(abilities!$1:$1,23)</f>
        <v>guardian_repulse</v>
      </c>
      <c r="K27" s="13">
        <f>INDEX(abilities!$2:$9,MATCH($B$3,abilities!$A$2:$A$9,0),23)</f>
        <v>4</v>
      </c>
    </row>
    <row r="28" spans="4:11" x14ac:dyDescent="0.35">
      <c r="D28" s="11"/>
      <c r="E28" s="13"/>
      <c r="G28" s="11" t="str">
        <f>INDEX(attributes!$1:$1,24)</f>
        <v>poison_fang</v>
      </c>
      <c r="H28" s="13">
        <f>INDEX(attributes!$2:$9,MATCH($B$3,attributes!$A$2:$A$9,0),24)</f>
        <v>1</v>
      </c>
      <c r="J28" s="11" t="str">
        <f>INDEX(abilities!$1:$1,24)</f>
        <v>healing_aura</v>
      </c>
      <c r="K28" s="13">
        <f>INDEX(abilities!$2:$9,MATCH($B$3,abilities!$A$2:$A$9,0),24)</f>
        <v>1</v>
      </c>
    </row>
    <row r="29" spans="4:11" x14ac:dyDescent="0.35">
      <c r="D29" s="11"/>
      <c r="E29" s="13"/>
      <c r="G29" s="11" t="str">
        <f>INDEX(attributes!$1:$1,25)</f>
        <v>poison_resistance</v>
      </c>
      <c r="H29" s="13">
        <f>INDEX(attributes!$2:$9,MATCH($B$3,attributes!$A$2:$A$9,0),25)</f>
        <v>3.8</v>
      </c>
      <c r="J29" s="11" t="str">
        <f>INDEX(abilities!$1:$1,25)</f>
        <v>healing_bottle</v>
      </c>
      <c r="K29" s="13">
        <f>INDEX(abilities!$2:$9,MATCH($B$3,abilities!$A$2:$A$9,0),25)</f>
        <v>1</v>
      </c>
    </row>
    <row r="30" spans="4:11" x14ac:dyDescent="0.35">
      <c r="D30" s="11"/>
      <c r="E30" s="13"/>
      <c r="G30" s="11" t="str">
        <f>INDEX(attributes!$1:$1,26)</f>
        <v>positive_effect_steal</v>
      </c>
      <c r="H30" s="13">
        <f>INDEX(attributes!$2:$9,MATCH($B$3,attributes!$A$2:$A$9,0),26)</f>
        <v>1</v>
      </c>
      <c r="J30" s="11" t="str">
        <f>INDEX(abilities!$1:$1,26)</f>
        <v>immunity_frame</v>
      </c>
      <c r="K30" s="13">
        <f>INDEX(abilities!$2:$9,MATCH($B$3,abilities!$A$2:$A$9,0),26)</f>
        <v>4</v>
      </c>
    </row>
    <row r="31" spans="4:11" x14ac:dyDescent="0.35">
      <c r="D31" s="11"/>
      <c r="E31" s="13"/>
      <c r="G31" s="11" t="str">
        <f>INDEX(attributes!$1:$1,27)</f>
        <v>regeneration</v>
      </c>
      <c r="H31" s="13">
        <f>INDEX(attributes!$2:$9,MATCH($B$3,attributes!$A$2:$A$9,0),27)</f>
        <v>4.2</v>
      </c>
      <c r="J31" s="11" t="str">
        <f>INDEX(abilities!$1:$1,27)</f>
        <v>last_stand_fury</v>
      </c>
      <c r="K31" s="13">
        <f>INDEX(abilities!$2:$9,MATCH($B$3,abilities!$A$2:$A$9,0),27)</f>
        <v>4</v>
      </c>
    </row>
    <row r="32" spans="4:11" x14ac:dyDescent="0.35">
      <c r="D32" s="11"/>
      <c r="E32" s="13"/>
      <c r="G32" s="11" t="str">
        <f>INDEX(attributes!$1:$1,28)</f>
        <v>rejuvenation</v>
      </c>
      <c r="H32" s="13">
        <f>INDEX(attributes!$2:$9,MATCH($B$3,attributes!$A$2:$A$9,0),28)</f>
        <v>1</v>
      </c>
      <c r="J32" s="11" t="str">
        <f>INDEX(abilities!$1:$1,28)</f>
        <v>life_gift</v>
      </c>
      <c r="K32" s="13">
        <f>INDEX(abilities!$2:$9,MATCH($B$3,abilities!$A$2:$A$9,0),28)</f>
        <v>1</v>
      </c>
    </row>
    <row r="33" spans="4:11" x14ac:dyDescent="0.35">
      <c r="D33" s="11"/>
      <c r="E33" s="13"/>
      <c r="G33" s="11" t="str">
        <f>INDEX(attributes!$1:$1,29)</f>
        <v>resistance</v>
      </c>
      <c r="H33" s="13">
        <f>INDEX(attributes!$2:$9,MATCH($B$3,attributes!$A$2:$A$9,0),29)</f>
        <v>4.5999999999999996</v>
      </c>
      <c r="J33" s="11" t="str">
        <f>INDEX(abilities!$1:$1,29)</f>
        <v>lightning_strike</v>
      </c>
      <c r="K33" s="13">
        <f>INDEX(abilities!$2:$9,MATCH($B$3,abilities!$A$2:$A$9,0),29)</f>
        <v>1</v>
      </c>
    </row>
    <row r="34" spans="4:11" x14ac:dyDescent="0.35">
      <c r="D34" s="11"/>
      <c r="E34" s="13"/>
      <c r="G34" s="11" t="str">
        <f>INDEX(attributes!$1:$1,30)</f>
        <v>smite</v>
      </c>
      <c r="H34" s="13">
        <f>INDEX(attributes!$2:$9,MATCH($B$3,attributes!$A$2:$A$9,0),30)</f>
        <v>1</v>
      </c>
      <c r="J34" s="11" t="str">
        <f>INDEX(abilities!$1:$1,30)</f>
        <v>llama_spit</v>
      </c>
      <c r="K34" s="13">
        <f>INDEX(abilities!$2:$9,MATCH($B$3,abilities!$A$2:$A$9,0),30)</f>
        <v>1</v>
      </c>
    </row>
    <row r="35" spans="4:11" x14ac:dyDescent="0.35">
      <c r="D35" s="11"/>
      <c r="E35" s="13"/>
      <c r="G35" s="11" t="str">
        <f>INDEX(attributes!$1:$1,31)</f>
        <v>speed</v>
      </c>
      <c r="H35" s="13">
        <f>INDEX(attributes!$2:$9,MATCH($B$3,attributes!$A$2:$A$9,0),31)</f>
        <v>1</v>
      </c>
      <c r="J35" s="11" t="str">
        <f>INDEX(abilities!$1:$1,31)</f>
        <v>psychic_wall</v>
      </c>
      <c r="K35" s="13">
        <f>INDEX(abilities!$2:$9,MATCH($B$3,abilities!$A$2:$A$9,0),31)</f>
        <v>4</v>
      </c>
    </row>
    <row r="36" spans="4:11" x14ac:dyDescent="0.35">
      <c r="D36" s="11"/>
      <c r="E36" s="13"/>
      <c r="G36" s="11" t="str">
        <f>INDEX(attributes!$1:$1,32)</f>
        <v>strength</v>
      </c>
      <c r="H36" s="13">
        <f>INDEX(attributes!$2:$9,MATCH($B$3,attributes!$A$2:$A$9,0),32)</f>
        <v>1</v>
      </c>
      <c r="J36" s="11" t="str">
        <f>INDEX(abilities!$1:$1,32)</f>
        <v>retaliation_slow</v>
      </c>
      <c r="K36" s="13">
        <f>INDEX(abilities!$2:$9,MATCH($B$3,abilities!$A$2:$A$9,0),32)</f>
        <v>1</v>
      </c>
    </row>
    <row r="37" spans="4:11" x14ac:dyDescent="0.35">
      <c r="D37" s="11"/>
      <c r="E37" s="13"/>
      <c r="G37" s="11" t="str">
        <f>INDEX(attributes!$1:$1,33)</f>
        <v>sweeping_edge</v>
      </c>
      <c r="H37" s="13">
        <f>INDEX(attributes!$2:$9,MATCH($B$3,attributes!$A$2:$A$9,0),33)</f>
        <v>1</v>
      </c>
      <c r="J37" s="11" t="str">
        <f>INDEX(abilities!$1:$1,33)</f>
        <v>shadow_hands</v>
      </c>
      <c r="K37" s="13">
        <f>INDEX(abilities!$2:$9,MATCH($B$3,abilities!$A$2:$A$9,0),33)</f>
        <v>1</v>
      </c>
    </row>
    <row r="38" spans="4:11" x14ac:dyDescent="0.35">
      <c r="D38" s="11"/>
      <c r="E38" s="13"/>
      <c r="G38" s="11" t="str">
        <f>INDEX(attributes!$1:$1,34)</f>
        <v>totem</v>
      </c>
      <c r="H38" s="13">
        <f>INDEX(attributes!$2:$9,MATCH($B$3,attributes!$A$2:$A$9,0),34)</f>
        <v>3.6</v>
      </c>
      <c r="J38" s="11" t="str">
        <f>INDEX(abilities!$1:$1,34)</f>
        <v>shield_block</v>
      </c>
      <c r="K38" s="13">
        <f>INDEX(abilities!$2:$9,MATCH($B$3,abilities!$A$2:$A$9,0),34)</f>
        <v>4</v>
      </c>
    </row>
    <row r="39" spans="4:11" x14ac:dyDescent="0.35">
      <c r="D39" s="11"/>
      <c r="E39" s="13"/>
      <c r="G39" s="11" t="str">
        <f>INDEX(attributes!$1:$1,35)</f>
        <v>victim_siphon</v>
      </c>
      <c r="H39" s="13">
        <f>INDEX(attributes!$2:$9,MATCH($B$3,attributes!$A$2:$A$9,0),35)</f>
        <v>1</v>
      </c>
      <c r="J39" s="11" t="str">
        <f>INDEX(abilities!$1:$1,35)</f>
        <v>shulker_bullet</v>
      </c>
      <c r="K39" s="13">
        <f>INDEX(abilities!$2:$9,MATCH($B$3,abilities!$A$2:$A$9,0),35)</f>
        <v>1</v>
      </c>
    </row>
    <row r="40" spans="4:11" x14ac:dyDescent="0.35">
      <c r="D40" s="11"/>
      <c r="E40" s="13"/>
      <c r="G40" s="11" t="str">
        <f>INDEX(attributes!$1:$1,36)</f>
        <v>void_cloud</v>
      </c>
      <c r="H40" s="13">
        <f>INDEX(attributes!$2:$9,MATCH($B$3,attributes!$A$2:$A$9,0),36)</f>
        <v>1</v>
      </c>
      <c r="J40" s="11" t="str">
        <f>INDEX(abilities!$1:$1,36)</f>
        <v>snowball_shot</v>
      </c>
      <c r="K40" s="13">
        <f>INDEX(abilities!$2:$9,MATCH($B$3,abilities!$A$2:$A$9,0),36)</f>
        <v>1</v>
      </c>
    </row>
    <row r="41" spans="4:11" x14ac:dyDescent="0.35">
      <c r="G41" s="11" t="str">
        <f>INDEX(attributes!$1:$1,37)</f>
        <v>warping_bite</v>
      </c>
      <c r="H41" s="13">
        <f>INDEX(attributes!$2:$9,MATCH($B$3,attributes!$A$2:$A$9,0),37)</f>
        <v>1</v>
      </c>
      <c r="J41" s="11" t="str">
        <f>INDEX(abilities!$1:$1,37)</f>
        <v>trident</v>
      </c>
      <c r="K41" s="13">
        <f>INDEX(abilities!$2:$9,MATCH($B$3,abilities!$A$2:$A$9,0),37)</f>
        <v>1</v>
      </c>
    </row>
    <row r="42" spans="4:11" x14ac:dyDescent="0.35">
      <c r="G42" s="11" t="str">
        <f>INDEX(attributes!$1:$1,38)</f>
        <v>witherfang</v>
      </c>
      <c r="H42" s="13">
        <f>INDEX(attributes!$2:$9,MATCH($B$3,attributes!$A$2:$A$9,0),38)</f>
        <v>1</v>
      </c>
      <c r="J42" s="11" t="str">
        <f>INDEX(abilities!$1:$1,38)</f>
        <v>warden_scream</v>
      </c>
      <c r="K42" s="13">
        <f>INDEX(abilities!$2:$9,MATCH($B$3,abilities!$A$2:$A$9,0),38)</f>
        <v>1</v>
      </c>
    </row>
    <row r="43" spans="4:11" x14ac:dyDescent="0.35">
      <c r="G43" s="11"/>
      <c r="H43" s="13"/>
      <c r="J43" s="11" t="str">
        <f>INDEX(abilities!$1:$1,39)</f>
        <v>wither_skull</v>
      </c>
      <c r="K43" s="13">
        <f>INDEX(abilities!$2:$9,MATCH($B$3,abilities!$A$2:$A$9,0),39)</f>
        <v>1</v>
      </c>
    </row>
    <row r="44" spans="4:11" x14ac:dyDescent="0.35">
      <c r="G44" s="11"/>
      <c r="H44" s="13"/>
      <c r="J44" s="11"/>
      <c r="K44" s="13"/>
    </row>
    <row r="45" spans="4:11" x14ac:dyDescent="0.35">
      <c r="G45" s="11"/>
      <c r="H45" s="13"/>
      <c r="J45" s="11"/>
      <c r="K45" s="13"/>
    </row>
    <row r="46" spans="4:11" x14ac:dyDescent="0.35">
      <c r="G46" s="11"/>
      <c r="H46" s="13"/>
      <c r="J46" s="11"/>
      <c r="K46" s="13"/>
    </row>
    <row r="47" spans="4:11" x14ac:dyDescent="0.35">
      <c r="G47" s="11"/>
      <c r="H47" s="13"/>
      <c r="J47" s="11"/>
      <c r="K47" s="13"/>
    </row>
    <row r="48" spans="4:11" x14ac:dyDescent="0.35">
      <c r="G48" s="11"/>
      <c r="H48" s="13"/>
      <c r="J48" s="11"/>
      <c r="K48" s="13"/>
    </row>
    <row r="49" spans="7:11" x14ac:dyDescent="0.35">
      <c r="G49" s="11"/>
      <c r="H49" s="13"/>
      <c r="J49" s="11"/>
      <c r="K49" s="13"/>
    </row>
    <row r="50" spans="7:11" x14ac:dyDescent="0.35">
      <c r="G50" s="11"/>
      <c r="H50" s="13"/>
      <c r="J50" s="11"/>
      <c r="K50" s="13"/>
    </row>
    <row r="51" spans="7:11" x14ac:dyDescent="0.35">
      <c r="G51" s="11"/>
      <c r="H51" s="13"/>
      <c r="J51" s="11"/>
      <c r="K51" s="13"/>
    </row>
    <row r="52" spans="7:11" x14ac:dyDescent="0.35">
      <c r="G52" s="11"/>
      <c r="H52" s="13"/>
      <c r="J52" s="11"/>
      <c r="K52" s="13"/>
    </row>
    <row r="53" spans="7:11" x14ac:dyDescent="0.35">
      <c r="G53" s="11"/>
      <c r="H53" s="13"/>
      <c r="J53" s="11"/>
      <c r="K53" s="13"/>
    </row>
    <row r="54" spans="7:11" x14ac:dyDescent="0.35">
      <c r="G54" s="11"/>
      <c r="H54" s="13"/>
      <c r="J54" s="11"/>
      <c r="K54" s="13"/>
    </row>
    <row r="55" spans="7:11" x14ac:dyDescent="0.35">
      <c r="G55" s="11"/>
      <c r="H55" s="13"/>
      <c r="J55" s="11"/>
      <c r="K55" s="13"/>
    </row>
    <row r="56" spans="7:11" x14ac:dyDescent="0.35">
      <c r="G56" s="11"/>
      <c r="H56" s="13"/>
      <c r="J56" s="11"/>
      <c r="K56" s="13"/>
    </row>
    <row r="57" spans="7:11" x14ac:dyDescent="0.35">
      <c r="G57" s="11"/>
      <c r="H57" s="13"/>
      <c r="J57" s="11"/>
      <c r="K57" s="13"/>
    </row>
    <row r="58" spans="7:11" x14ac:dyDescent="0.35">
      <c r="G58" s="11"/>
      <c r="H58" s="13"/>
      <c r="J58" s="11"/>
      <c r="K58" s="13"/>
    </row>
    <row r="59" spans="7:11" x14ac:dyDescent="0.35">
      <c r="G59" s="11"/>
      <c r="H59" s="13"/>
      <c r="J59" s="11"/>
      <c r="K59" s="13"/>
    </row>
    <row r="60" spans="7:11" x14ac:dyDescent="0.35">
      <c r="G60" s="11"/>
      <c r="H60" s="13"/>
      <c r="J60" s="11"/>
      <c r="K60" s="13"/>
    </row>
    <row r="61" spans="7:11" x14ac:dyDescent="0.35">
      <c r="G61" s="11"/>
      <c r="H61" s="13"/>
      <c r="J61" s="11"/>
      <c r="K61" s="13"/>
    </row>
    <row r="62" spans="7:11" x14ac:dyDescent="0.35">
      <c r="G62" s="11"/>
      <c r="H62" s="13"/>
      <c r="J62" s="11"/>
      <c r="K62" s="13"/>
    </row>
    <row r="63" spans="7:11" x14ac:dyDescent="0.35">
      <c r="G63" s="11"/>
      <c r="H63" s="13"/>
      <c r="J63" s="11"/>
      <c r="K63" s="13"/>
    </row>
    <row r="64" spans="7:11" x14ac:dyDescent="0.35">
      <c r="G64" s="11"/>
      <c r="H64" s="13"/>
      <c r="J64" s="11"/>
      <c r="K64" s="13"/>
    </row>
    <row r="65" spans="7:11" x14ac:dyDescent="0.35">
      <c r="G65" s="11"/>
      <c r="H65" s="13"/>
      <c r="J65" s="11"/>
      <c r="K65" s="13"/>
    </row>
    <row r="66" spans="7:11" x14ac:dyDescent="0.35">
      <c r="G66" s="11"/>
      <c r="H66" s="13"/>
      <c r="J66" s="11"/>
      <c r="K66" s="13"/>
    </row>
    <row r="67" spans="7:11" x14ac:dyDescent="0.35">
      <c r="G67" s="11"/>
      <c r="H67" s="13"/>
      <c r="J67" s="11"/>
      <c r="K67" s="13"/>
    </row>
    <row r="68" spans="7:11" x14ac:dyDescent="0.35">
      <c r="G68" s="11"/>
      <c r="H68" s="13"/>
      <c r="J68" s="11"/>
      <c r="K68" s="13"/>
    </row>
    <row r="69" spans="7:11" x14ac:dyDescent="0.35">
      <c r="G69" s="11"/>
      <c r="H69" s="13"/>
      <c r="J69" s="11"/>
      <c r="K69" s="13"/>
    </row>
    <row r="70" spans="7:11" x14ac:dyDescent="0.35">
      <c r="G70" s="11"/>
      <c r="H70" s="13"/>
      <c r="J70" s="11"/>
      <c r="K70" s="13"/>
    </row>
    <row r="71" spans="7:11" x14ac:dyDescent="0.35">
      <c r="G71" s="11"/>
      <c r="H71" s="13"/>
      <c r="J71" s="11"/>
      <c r="K71" s="13"/>
    </row>
    <row r="72" spans="7:11" x14ac:dyDescent="0.35">
      <c r="G72" s="11"/>
      <c r="H72" s="13"/>
      <c r="J72" s="11"/>
      <c r="K72" s="13"/>
    </row>
    <row r="73" spans="7:11" x14ac:dyDescent="0.35">
      <c r="G73" s="11"/>
      <c r="H73" s="13"/>
      <c r="J73" s="11"/>
      <c r="K73" s="13"/>
    </row>
    <row r="74" spans="7:11" x14ac:dyDescent="0.35">
      <c r="G74" s="11"/>
      <c r="H74" s="13"/>
      <c r="J74" s="11"/>
      <c r="K74" s="13"/>
    </row>
    <row r="75" spans="7:11" x14ac:dyDescent="0.35">
      <c r="G75" s="11"/>
      <c r="H75" s="13"/>
      <c r="J75" s="11"/>
      <c r="K75" s="13"/>
    </row>
    <row r="76" spans="7:11" x14ac:dyDescent="0.35">
      <c r="G76" s="11"/>
      <c r="H76" s="13"/>
      <c r="J76" s="11"/>
      <c r="K76" s="13"/>
    </row>
    <row r="77" spans="7:11" x14ac:dyDescent="0.35">
      <c r="G77" s="11"/>
      <c r="H77" s="13"/>
      <c r="J77" s="11"/>
      <c r="K77" s="13"/>
    </row>
    <row r="78" spans="7:11" x14ac:dyDescent="0.35">
      <c r="G78" s="11"/>
      <c r="H78" s="13"/>
      <c r="J78" s="11"/>
      <c r="K78" s="13"/>
    </row>
    <row r="79" spans="7:11" x14ac:dyDescent="0.35">
      <c r="G79" s="11"/>
      <c r="H79" s="13"/>
      <c r="J79" s="11"/>
      <c r="K79" s="13"/>
    </row>
    <row r="80" spans="7:11" x14ac:dyDescent="0.35">
      <c r="G80" s="11"/>
      <c r="H80" s="13"/>
      <c r="J80" s="11"/>
      <c r="K80" s="13"/>
    </row>
    <row r="81" spans="7:11" x14ac:dyDescent="0.35">
      <c r="G81" s="11"/>
      <c r="H81" s="13"/>
      <c r="J81" s="11"/>
      <c r="K81" s="13"/>
    </row>
    <row r="82" spans="7:11" x14ac:dyDescent="0.35">
      <c r="G82" s="11"/>
      <c r="H82" s="13"/>
      <c r="J82" s="11"/>
      <c r="K82" s="13"/>
    </row>
    <row r="83" spans="7:11" x14ac:dyDescent="0.35">
      <c r="G83" s="11"/>
      <c r="H83" s="13"/>
      <c r="J83" s="11"/>
      <c r="K83" s="13"/>
    </row>
    <row r="84" spans="7:11" x14ac:dyDescent="0.35">
      <c r="G84" s="11"/>
      <c r="H84" s="13"/>
      <c r="J84" s="11"/>
      <c r="K84" s="13"/>
    </row>
    <row r="85" spans="7:11" x14ac:dyDescent="0.35">
      <c r="G85" s="11"/>
      <c r="H85" s="13"/>
      <c r="J85" s="11"/>
      <c r="K85" s="13"/>
    </row>
    <row r="86" spans="7:11" x14ac:dyDescent="0.35">
      <c r="G86" s="11"/>
      <c r="H86" s="13"/>
      <c r="J86" s="11"/>
      <c r="K86" s="13"/>
    </row>
    <row r="87" spans="7:11" x14ac:dyDescent="0.35">
      <c r="G87" s="11"/>
      <c r="H87" s="13"/>
      <c r="J87" s="11"/>
      <c r="K87" s="13"/>
    </row>
    <row r="88" spans="7:11" x14ac:dyDescent="0.35">
      <c r="G88" s="11"/>
      <c r="H88" s="13"/>
      <c r="J88" s="11"/>
      <c r="K88" s="13"/>
    </row>
    <row r="89" spans="7:11" x14ac:dyDescent="0.35">
      <c r="G89" s="11"/>
      <c r="H89" s="13"/>
      <c r="J89" s="11"/>
      <c r="K89" s="13"/>
    </row>
    <row r="90" spans="7:11" x14ac:dyDescent="0.35">
      <c r="G90" s="11"/>
      <c r="H90" s="13"/>
      <c r="J90" s="11"/>
      <c r="K90" s="13"/>
    </row>
    <row r="91" spans="7:11" x14ac:dyDescent="0.35">
      <c r="G91" s="11"/>
      <c r="H91" s="13"/>
      <c r="J91" s="11"/>
      <c r="K91" s="13"/>
    </row>
    <row r="92" spans="7:11" x14ac:dyDescent="0.35">
      <c r="G92" s="11"/>
      <c r="H92" s="13"/>
      <c r="J92" s="11"/>
      <c r="K92" s="13"/>
    </row>
    <row r="93" spans="7:11" x14ac:dyDescent="0.35">
      <c r="G93" s="11"/>
      <c r="H93" s="13"/>
      <c r="J93" s="11"/>
      <c r="K93" s="13"/>
    </row>
    <row r="94" spans="7:11" x14ac:dyDescent="0.35">
      <c r="G94" s="11"/>
      <c r="H94" s="13"/>
      <c r="J94" s="11"/>
      <c r="K94" s="13"/>
    </row>
    <row r="95" spans="7:11" x14ac:dyDescent="0.35">
      <c r="G95" s="11"/>
      <c r="H95" s="13"/>
      <c r="J95" s="11"/>
      <c r="K95" s="13"/>
    </row>
    <row r="96" spans="7:11" x14ac:dyDescent="0.35">
      <c r="G96" s="11"/>
      <c r="H96" s="13"/>
      <c r="J96" s="11"/>
      <c r="K96" s="13"/>
    </row>
    <row r="97" spans="7:11" x14ac:dyDescent="0.35">
      <c r="G97" s="11"/>
      <c r="H97" s="13"/>
      <c r="J97" s="11"/>
      <c r="K97" s="13"/>
    </row>
    <row r="98" spans="7:11" x14ac:dyDescent="0.35">
      <c r="G98" s="11"/>
      <c r="H98" s="13"/>
      <c r="J98" s="11"/>
      <c r="K98" s="13"/>
    </row>
    <row r="99" spans="7:11" x14ac:dyDescent="0.35">
      <c r="G99" s="11"/>
      <c r="H99" s="13"/>
      <c r="J99" s="11"/>
      <c r="K99" s="13"/>
    </row>
    <row r="100" spans="7:11" x14ac:dyDescent="0.35">
      <c r="G100" s="11"/>
      <c r="H100" s="13"/>
      <c r="J100" s="11"/>
      <c r="K100" s="13"/>
    </row>
    <row r="101" spans="7:11" x14ac:dyDescent="0.35">
      <c r="G101" s="11"/>
      <c r="H101" s="13"/>
      <c r="J101" s="11"/>
      <c r="K101" s="13"/>
    </row>
    <row r="102" spans="7:11" x14ac:dyDescent="0.35">
      <c r="G102" s="11"/>
      <c r="H102" s="13"/>
      <c r="J102" s="11"/>
      <c r="K102" s="13"/>
    </row>
    <row r="103" spans="7:11" x14ac:dyDescent="0.35">
      <c r="G103" s="11"/>
      <c r="H103" s="13"/>
      <c r="J103" s="11"/>
      <c r="K103" s="13"/>
    </row>
    <row r="104" spans="7:11" x14ac:dyDescent="0.35">
      <c r="G104" s="11"/>
      <c r="H104" s="13"/>
      <c r="J104" s="11"/>
      <c r="K104" s="13"/>
    </row>
    <row r="105" spans="7:11" x14ac:dyDescent="0.35">
      <c r="G105" s="11"/>
      <c r="H105" s="13"/>
      <c r="J105" s="11"/>
      <c r="K105" s="13"/>
    </row>
    <row r="106" spans="7:11" x14ac:dyDescent="0.35">
      <c r="G106" s="11"/>
      <c r="H106" s="13"/>
      <c r="J106" s="11"/>
      <c r="K106" s="13"/>
    </row>
    <row r="107" spans="7:11" x14ac:dyDescent="0.35">
      <c r="G107" s="11"/>
      <c r="H107" s="13"/>
      <c r="J107" s="11"/>
      <c r="K107" s="13"/>
    </row>
    <row r="108" spans="7:11" x14ac:dyDescent="0.35">
      <c r="G108" s="11"/>
      <c r="H108" s="13"/>
      <c r="J108" s="11"/>
      <c r="K108" s="13"/>
    </row>
    <row r="109" spans="7:11" x14ac:dyDescent="0.35">
      <c r="G109" s="11"/>
      <c r="H109" s="13"/>
      <c r="J109" s="11"/>
      <c r="K109" s="13"/>
    </row>
    <row r="110" spans="7:11" x14ac:dyDescent="0.35">
      <c r="G110" s="11"/>
      <c r="H110" s="13"/>
      <c r="J110" s="11"/>
      <c r="K110" s="13"/>
    </row>
    <row r="111" spans="7:11" x14ac:dyDescent="0.35">
      <c r="G111" s="11"/>
      <c r="H111" s="13"/>
      <c r="J111" s="11"/>
      <c r="K111" s="13"/>
    </row>
    <row r="112" spans="7:11" x14ac:dyDescent="0.35">
      <c r="G112" s="11"/>
      <c r="H112" s="13"/>
      <c r="J112" s="11"/>
      <c r="K112" s="13"/>
    </row>
    <row r="113" spans="7:11" x14ac:dyDescent="0.35">
      <c r="G113" s="11"/>
      <c r="H113" s="13"/>
      <c r="J113" s="11"/>
      <c r="K113" s="13"/>
    </row>
    <row r="114" spans="7:11" x14ac:dyDescent="0.35">
      <c r="G114" s="11"/>
      <c r="H114" s="13"/>
      <c r="J114" s="11"/>
      <c r="K114" s="13"/>
    </row>
    <row r="115" spans="7:11" x14ac:dyDescent="0.35">
      <c r="G115" s="11"/>
      <c r="H115" s="13"/>
      <c r="J115" s="11"/>
      <c r="K115" s="13"/>
    </row>
    <row r="116" spans="7:11" x14ac:dyDescent="0.35">
      <c r="G116" s="11"/>
      <c r="H116" s="13"/>
      <c r="J116" s="11"/>
      <c r="K116" s="13"/>
    </row>
    <row r="117" spans="7:11" x14ac:dyDescent="0.35">
      <c r="G117" s="11"/>
      <c r="H117" s="13"/>
      <c r="J117" s="11"/>
      <c r="K117" s="13"/>
    </row>
    <row r="118" spans="7:11" x14ac:dyDescent="0.35">
      <c r="G118" s="11"/>
      <c r="H118" s="13"/>
      <c r="J118" s="11"/>
      <c r="K118" s="13"/>
    </row>
    <row r="119" spans="7:11" x14ac:dyDescent="0.35">
      <c r="G119" s="11"/>
      <c r="H119" s="13"/>
      <c r="J119" s="11"/>
      <c r="K119" s="13"/>
    </row>
    <row r="120" spans="7:11" x14ac:dyDescent="0.35">
      <c r="G120" s="11"/>
      <c r="H120" s="13"/>
      <c r="J120" s="11"/>
      <c r="K120" s="13"/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E1FEE0-67AA-47D0-9BCB-D896CBED3A63}">
          <x14:formula1>
            <xm:f>categories!$A$2:$A$9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57DB-4619-4AD6-934D-EB8E0ABED5EB}">
  <dimension ref="A1:H9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baseColWidth="10" defaultRowHeight="14.5" x14ac:dyDescent="0.35"/>
  <cols>
    <col min="1" max="1" width="9.7265625" bestFit="1" customWidth="1"/>
    <col min="2" max="2" width="10.26953125" bestFit="1" customWidth="1"/>
    <col min="3" max="3" width="19.7265625" bestFit="1" customWidth="1"/>
    <col min="4" max="4" width="12" bestFit="1" customWidth="1"/>
    <col min="5" max="5" width="7.54296875" bestFit="1" customWidth="1"/>
    <col min="6" max="6" width="14.54296875" bestFit="1" customWidth="1"/>
    <col min="7" max="7" width="20" bestFit="1" customWidth="1"/>
    <col min="8" max="8" width="10.453125" bestFit="1" customWidth="1"/>
  </cols>
  <sheetData>
    <row r="1" spans="1:8" x14ac:dyDescent="0.35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 x14ac:dyDescent="0.35">
      <c r="A2" t="s">
        <v>4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3.8</v>
      </c>
    </row>
    <row r="3" spans="1:8" x14ac:dyDescent="0.35">
      <c r="A3" t="s">
        <v>5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</row>
    <row r="4" spans="1:8" x14ac:dyDescent="0.35">
      <c r="A4" t="s">
        <v>6</v>
      </c>
      <c r="B4" s="3">
        <v>1</v>
      </c>
      <c r="C4" s="3">
        <v>1</v>
      </c>
      <c r="D4" s="3">
        <v>4.3</v>
      </c>
      <c r="E4" s="3">
        <v>1</v>
      </c>
      <c r="F4" s="3">
        <v>1</v>
      </c>
      <c r="G4" s="3">
        <v>1</v>
      </c>
      <c r="H4" s="3">
        <v>1</v>
      </c>
    </row>
    <row r="5" spans="1:8" x14ac:dyDescent="0.35">
      <c r="A5" t="s">
        <v>7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</row>
    <row r="6" spans="1:8" x14ac:dyDescent="0.35">
      <c r="A6" t="s">
        <v>8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</row>
    <row r="7" spans="1:8" x14ac:dyDescent="0.35">
      <c r="A7" t="s">
        <v>9</v>
      </c>
      <c r="B7" s="3">
        <v>1</v>
      </c>
      <c r="C7" s="3">
        <v>1</v>
      </c>
      <c r="D7" s="3">
        <v>1</v>
      </c>
      <c r="E7" s="3">
        <v>1</v>
      </c>
      <c r="F7" s="3">
        <v>2.8</v>
      </c>
      <c r="G7" s="3">
        <v>1</v>
      </c>
      <c r="H7" s="3">
        <v>1.8</v>
      </c>
    </row>
    <row r="8" spans="1:8" x14ac:dyDescent="0.35">
      <c r="A8" t="s">
        <v>10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2.8</v>
      </c>
      <c r="H8" s="3">
        <v>1.8</v>
      </c>
    </row>
    <row r="9" spans="1:8" x14ac:dyDescent="0.35">
      <c r="A9" t="s">
        <v>11</v>
      </c>
      <c r="B9" s="3">
        <v>3</v>
      </c>
      <c r="C9" s="3">
        <v>3</v>
      </c>
      <c r="D9" s="3">
        <v>1</v>
      </c>
      <c r="E9" s="3">
        <v>3</v>
      </c>
      <c r="F9" s="3">
        <v>1</v>
      </c>
      <c r="G9" s="3">
        <v>1</v>
      </c>
      <c r="H9" s="3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0E92-D540-47D4-853E-AEE4F4DC6443}">
  <dimension ref="A1:AL9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baseColWidth="10" defaultRowHeight="14.5" x14ac:dyDescent="0.35"/>
  <cols>
    <col min="1" max="1" width="9.7265625" bestFit="1" customWidth="1"/>
    <col min="2" max="2" width="16.54296875" bestFit="1" customWidth="1"/>
    <col min="3" max="3" width="15.36328125" bestFit="1" customWidth="1"/>
    <col min="4" max="4" width="22" bestFit="1" customWidth="1"/>
    <col min="5" max="5" width="20.90625" bestFit="1" customWidth="1"/>
    <col min="6" max="6" width="12.81640625" bestFit="1" customWidth="1"/>
    <col min="7" max="7" width="18.26953125" bestFit="1" customWidth="1"/>
    <col min="8" max="8" width="13.1796875" bestFit="1" customWidth="1"/>
    <col min="9" max="9" width="17.7265625" bestFit="1" customWidth="1"/>
    <col min="10" max="10" width="11.81640625" bestFit="1" customWidth="1"/>
    <col min="11" max="11" width="13.6328125" bestFit="1" customWidth="1"/>
    <col min="12" max="12" width="17.26953125" bestFit="1" customWidth="1"/>
    <col min="13" max="13" width="11.7265625" bestFit="1" customWidth="1"/>
    <col min="14" max="14" width="9.6328125" bestFit="1" customWidth="1"/>
    <col min="15" max="15" width="15.26953125" bestFit="1" customWidth="1"/>
    <col min="16" max="16" width="12.1796875" bestFit="1" customWidth="1"/>
    <col min="17" max="17" width="16.36328125" bestFit="1" customWidth="1"/>
    <col min="18" max="18" width="19.26953125" bestFit="1" customWidth="1"/>
    <col min="19" max="19" width="13.1796875" bestFit="1" customWidth="1"/>
    <col min="20" max="20" width="12" bestFit="1" customWidth="1"/>
    <col min="21" max="21" width="16" bestFit="1" customWidth="1"/>
    <col min="22" max="22" width="11.7265625" bestFit="1" customWidth="1"/>
    <col min="23" max="23" width="10.6328125" bestFit="1" customWidth="1"/>
    <col min="24" max="24" width="15.453125" bestFit="1" customWidth="1"/>
    <col min="25" max="25" width="20.6328125" bestFit="1" customWidth="1"/>
    <col min="26" max="26" width="22.7265625" bestFit="1" customWidth="1"/>
    <col min="27" max="28" width="15.90625" bestFit="1" customWidth="1"/>
    <col min="29" max="29" width="14.08984375" bestFit="1" customWidth="1"/>
    <col min="30" max="30" width="10.08984375" bestFit="1" customWidth="1"/>
    <col min="31" max="31" width="10.453125" bestFit="1" customWidth="1"/>
    <col min="32" max="32" width="12.26953125" bestFit="1" customWidth="1"/>
    <col min="33" max="33" width="18.08984375" bestFit="1" customWidth="1"/>
    <col min="34" max="34" width="10.26953125" bestFit="1" customWidth="1"/>
    <col min="35" max="35" width="17.1796875" bestFit="1" customWidth="1"/>
    <col min="36" max="36" width="14.453125" bestFit="1" customWidth="1"/>
    <col min="37" max="37" width="16.08984375" bestFit="1" customWidth="1"/>
    <col min="38" max="38" width="14.26953125" bestFit="1" customWidth="1"/>
  </cols>
  <sheetData>
    <row r="1" spans="1:38" x14ac:dyDescent="0.35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18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</row>
    <row r="2" spans="1:38" x14ac:dyDescent="0.35">
      <c r="A2" t="s">
        <v>4</v>
      </c>
      <c r="B2" s="3">
        <v>1</v>
      </c>
      <c r="C2" s="3">
        <v>4</v>
      </c>
      <c r="D2" s="3">
        <v>1</v>
      </c>
      <c r="E2" s="3">
        <v>1</v>
      </c>
      <c r="F2" s="3">
        <v>2.5</v>
      </c>
      <c r="G2" s="3">
        <v>4</v>
      </c>
      <c r="H2" s="3">
        <v>1</v>
      </c>
      <c r="I2" s="3">
        <v>1</v>
      </c>
      <c r="J2" s="3">
        <v>2.6</v>
      </c>
      <c r="K2" s="3">
        <v>2.6</v>
      </c>
      <c r="L2" s="3">
        <v>1</v>
      </c>
      <c r="M2" s="3">
        <v>1</v>
      </c>
      <c r="N2" s="3">
        <v>4</v>
      </c>
      <c r="O2" s="3">
        <v>2.5</v>
      </c>
      <c r="P2" s="3">
        <v>3</v>
      </c>
      <c r="Q2" s="3">
        <v>1.6</v>
      </c>
      <c r="R2" s="3">
        <v>1</v>
      </c>
      <c r="S2" s="3">
        <v>4</v>
      </c>
      <c r="T2" s="3">
        <v>1.5</v>
      </c>
      <c r="U2" s="3">
        <v>1</v>
      </c>
      <c r="V2" s="3">
        <v>1</v>
      </c>
      <c r="W2" s="3">
        <v>2.5</v>
      </c>
      <c r="X2" s="3">
        <v>4</v>
      </c>
      <c r="Y2" s="3">
        <v>1</v>
      </c>
      <c r="Z2" s="3">
        <v>1</v>
      </c>
      <c r="AA2" s="3">
        <v>1</v>
      </c>
      <c r="AB2" s="3">
        <v>4</v>
      </c>
      <c r="AC2" s="3">
        <v>1</v>
      </c>
      <c r="AD2" s="3">
        <v>1</v>
      </c>
      <c r="AE2" s="3">
        <v>3.2</v>
      </c>
      <c r="AF2" s="3">
        <v>1.4</v>
      </c>
      <c r="AG2" s="3">
        <v>1</v>
      </c>
      <c r="AH2" s="3">
        <v>1</v>
      </c>
      <c r="AI2" s="3">
        <v>4</v>
      </c>
      <c r="AJ2" s="3">
        <v>2.5</v>
      </c>
      <c r="AK2" s="3">
        <v>4</v>
      </c>
      <c r="AL2" s="3">
        <v>3</v>
      </c>
    </row>
    <row r="3" spans="1:38" x14ac:dyDescent="0.35">
      <c r="A3" t="s">
        <v>5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</row>
    <row r="4" spans="1:38" x14ac:dyDescent="0.35">
      <c r="A4" t="s">
        <v>6</v>
      </c>
      <c r="B4" s="3">
        <v>1</v>
      </c>
      <c r="C4" s="3">
        <v>1</v>
      </c>
      <c r="D4" s="3">
        <v>2.5</v>
      </c>
      <c r="E4" s="3">
        <v>1</v>
      </c>
      <c r="F4" s="3">
        <v>1</v>
      </c>
      <c r="G4" s="3">
        <v>1.5</v>
      </c>
      <c r="H4" s="3">
        <v>1</v>
      </c>
      <c r="I4" s="3">
        <v>1</v>
      </c>
      <c r="J4" s="3">
        <v>3</v>
      </c>
      <c r="K4" s="3">
        <v>2.6</v>
      </c>
      <c r="L4" s="3">
        <v>1</v>
      </c>
      <c r="M4" s="3">
        <v>1</v>
      </c>
      <c r="N4" s="3">
        <v>3.4</v>
      </c>
      <c r="O4" s="3">
        <v>1</v>
      </c>
      <c r="P4" s="3">
        <v>1</v>
      </c>
      <c r="Q4" s="3">
        <v>2.6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4</v>
      </c>
      <c r="X4" s="3">
        <v>2.6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2.5</v>
      </c>
      <c r="AE4" s="3">
        <v>1</v>
      </c>
      <c r="AF4" s="3">
        <v>4</v>
      </c>
      <c r="AG4" s="3">
        <v>4</v>
      </c>
      <c r="AH4" s="3">
        <v>1</v>
      </c>
      <c r="AI4" s="3">
        <v>1</v>
      </c>
      <c r="AJ4" s="3">
        <v>1</v>
      </c>
      <c r="AK4" s="3">
        <v>1</v>
      </c>
      <c r="AL4" s="3">
        <v>2.6</v>
      </c>
    </row>
    <row r="5" spans="1:38" x14ac:dyDescent="0.35">
      <c r="A5" t="s">
        <v>7</v>
      </c>
      <c r="B5" s="3">
        <v>6.2</v>
      </c>
      <c r="C5" s="3">
        <v>1</v>
      </c>
      <c r="D5" s="3">
        <v>1</v>
      </c>
      <c r="E5" s="3">
        <v>1</v>
      </c>
      <c r="F5" s="3">
        <v>1</v>
      </c>
      <c r="G5" s="3">
        <v>2.5</v>
      </c>
      <c r="H5" s="3">
        <v>1</v>
      </c>
      <c r="I5" s="3">
        <v>1</v>
      </c>
      <c r="J5" s="3">
        <v>2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3.2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2.6</v>
      </c>
      <c r="AA5" s="3">
        <v>1</v>
      </c>
      <c r="AB5" s="3">
        <v>2.5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2</v>
      </c>
    </row>
    <row r="6" spans="1:38" x14ac:dyDescent="0.35">
      <c r="A6" t="s">
        <v>8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</row>
    <row r="7" spans="1:38" x14ac:dyDescent="0.35">
      <c r="A7" t="s">
        <v>9</v>
      </c>
      <c r="B7" s="3">
        <v>1</v>
      </c>
      <c r="C7" s="3">
        <v>1</v>
      </c>
      <c r="D7" s="3">
        <v>2.5</v>
      </c>
      <c r="E7" s="3">
        <v>1</v>
      </c>
      <c r="F7" s="3">
        <v>1</v>
      </c>
      <c r="G7" s="3">
        <v>1.5</v>
      </c>
      <c r="H7" s="3">
        <v>1</v>
      </c>
      <c r="I7" s="3">
        <v>1</v>
      </c>
      <c r="J7" s="3">
        <v>3</v>
      </c>
      <c r="K7" s="3">
        <v>2.6</v>
      </c>
      <c r="L7" s="3">
        <v>1</v>
      </c>
      <c r="M7" s="3">
        <v>1</v>
      </c>
      <c r="N7" s="3">
        <v>3.4</v>
      </c>
      <c r="O7" s="3">
        <v>1</v>
      </c>
      <c r="P7" s="3">
        <v>1</v>
      </c>
      <c r="Q7" s="3">
        <v>2.6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4</v>
      </c>
      <c r="X7" s="3">
        <v>2.6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2.5</v>
      </c>
      <c r="AE7" s="3">
        <v>3.4</v>
      </c>
      <c r="AF7" s="3">
        <v>4</v>
      </c>
      <c r="AG7" s="3">
        <v>4</v>
      </c>
      <c r="AH7" s="3">
        <v>1</v>
      </c>
      <c r="AI7" s="3">
        <v>1</v>
      </c>
      <c r="AJ7" s="3">
        <v>1</v>
      </c>
      <c r="AK7" s="3">
        <v>1</v>
      </c>
      <c r="AL7" s="3">
        <v>2.6</v>
      </c>
    </row>
    <row r="8" spans="1:38" x14ac:dyDescent="0.35">
      <c r="A8" t="s">
        <v>10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2.5</v>
      </c>
      <c r="I8" s="3">
        <v>3.6</v>
      </c>
      <c r="J8" s="3">
        <v>1</v>
      </c>
      <c r="K8" s="3">
        <v>1</v>
      </c>
      <c r="L8" s="3">
        <v>1</v>
      </c>
      <c r="M8" s="3">
        <v>2.5</v>
      </c>
      <c r="N8" s="3">
        <v>1</v>
      </c>
      <c r="O8" s="3">
        <v>1</v>
      </c>
      <c r="P8" s="3">
        <v>1</v>
      </c>
      <c r="Q8" s="3">
        <v>1</v>
      </c>
      <c r="R8" s="3">
        <v>2.5</v>
      </c>
      <c r="S8" s="3">
        <v>1</v>
      </c>
      <c r="T8" s="3">
        <v>1</v>
      </c>
      <c r="U8" s="3">
        <v>2.5</v>
      </c>
      <c r="V8" s="3">
        <v>1</v>
      </c>
      <c r="W8" s="3">
        <v>1</v>
      </c>
      <c r="X8" s="3">
        <v>1</v>
      </c>
      <c r="Y8" s="3">
        <v>3.6</v>
      </c>
      <c r="Z8" s="3">
        <v>1</v>
      </c>
      <c r="AA8" s="3">
        <v>4</v>
      </c>
      <c r="AB8" s="3">
        <v>1</v>
      </c>
      <c r="AC8" s="3">
        <v>4.2</v>
      </c>
      <c r="AD8" s="3">
        <v>1</v>
      </c>
      <c r="AE8" s="3">
        <v>1</v>
      </c>
      <c r="AF8" s="3">
        <v>1</v>
      </c>
      <c r="AG8" s="3">
        <v>1</v>
      </c>
      <c r="AH8" s="3">
        <v>4.2</v>
      </c>
      <c r="AI8" s="3">
        <v>1</v>
      </c>
      <c r="AJ8" s="3">
        <v>1</v>
      </c>
      <c r="AK8" s="3">
        <v>1</v>
      </c>
      <c r="AL8" s="3">
        <v>1</v>
      </c>
    </row>
    <row r="9" spans="1:38" x14ac:dyDescent="0.35">
      <c r="A9" t="s">
        <v>11</v>
      </c>
      <c r="B9" s="3">
        <v>1</v>
      </c>
      <c r="C9" s="3">
        <v>1</v>
      </c>
      <c r="D9" s="3">
        <v>1</v>
      </c>
      <c r="E9" s="3">
        <v>4</v>
      </c>
      <c r="F9" s="3">
        <v>1</v>
      </c>
      <c r="G9" s="3">
        <v>1</v>
      </c>
      <c r="H9" s="3">
        <v>1</v>
      </c>
      <c r="I9" s="3">
        <v>3.8</v>
      </c>
      <c r="J9" s="3">
        <v>1</v>
      </c>
      <c r="K9" s="3">
        <v>1</v>
      </c>
      <c r="L9" s="3">
        <v>2.5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2.8</v>
      </c>
      <c r="W9" s="3">
        <v>1</v>
      </c>
      <c r="X9" s="3">
        <v>1</v>
      </c>
      <c r="Y9" s="3">
        <v>3.8</v>
      </c>
      <c r="Z9" s="3">
        <v>1</v>
      </c>
      <c r="AA9" s="3">
        <v>4.2</v>
      </c>
      <c r="AB9" s="3">
        <v>1</v>
      </c>
      <c r="AC9" s="3">
        <v>4.5999999999999996</v>
      </c>
      <c r="AD9" s="3">
        <v>1</v>
      </c>
      <c r="AE9" s="3">
        <v>1</v>
      </c>
      <c r="AF9" s="3">
        <v>1</v>
      </c>
      <c r="AG9" s="3">
        <v>1</v>
      </c>
      <c r="AH9" s="3">
        <v>3.6</v>
      </c>
      <c r="AI9" s="3">
        <v>1</v>
      </c>
      <c r="AJ9" s="3">
        <v>1</v>
      </c>
      <c r="AK9" s="3">
        <v>1</v>
      </c>
      <c r="AL9" s="3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F157-2AAD-41C4-83E5-32D444A2792E}">
  <dimension ref="A1:AM9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baseColWidth="10" defaultRowHeight="14.5" x14ac:dyDescent="0.35"/>
  <cols>
    <col min="1" max="1" width="9.7265625" bestFit="1" customWidth="1"/>
    <col min="2" max="2" width="14.453125" bestFit="1" customWidth="1"/>
    <col min="3" max="3" width="18" bestFit="1" customWidth="1"/>
    <col min="4" max="4" width="20.1796875" bestFit="1" customWidth="1"/>
    <col min="5" max="5" width="13.26953125" bestFit="1" customWidth="1"/>
    <col min="6" max="6" width="15.90625" bestFit="1" customWidth="1"/>
    <col min="7" max="7" width="13.26953125" bestFit="1" customWidth="1"/>
    <col min="8" max="8" width="14.90625" bestFit="1" customWidth="1"/>
    <col min="9" max="9" width="17.54296875" bestFit="1" customWidth="1"/>
    <col min="10" max="10" width="13.26953125" bestFit="1" customWidth="1"/>
    <col min="11" max="11" width="9.453125" bestFit="1" customWidth="1"/>
    <col min="12" max="12" width="18.08984375" bestFit="1" customWidth="1"/>
    <col min="13" max="13" width="13.90625" bestFit="1" customWidth="1"/>
    <col min="14" max="14" width="11.6328125" bestFit="1" customWidth="1"/>
    <col min="15" max="15" width="17.90625" bestFit="1" customWidth="1"/>
    <col min="16" max="16" width="23.453125" bestFit="1" customWidth="1"/>
    <col min="17" max="17" width="20.6328125" bestFit="1" customWidth="1"/>
    <col min="18" max="18" width="20.54296875" bestFit="1" customWidth="1"/>
    <col min="19" max="19" width="16.26953125" bestFit="1" customWidth="1"/>
    <col min="20" max="20" width="16.7265625" bestFit="1" customWidth="1"/>
    <col min="21" max="21" width="18.26953125" bestFit="1" customWidth="1"/>
    <col min="22" max="22" width="21.26953125" bestFit="1" customWidth="1"/>
    <col min="23" max="23" width="19.81640625" bestFit="1" customWidth="1"/>
    <col min="24" max="24" width="16.08984375" bestFit="1" customWidth="1"/>
    <col min="25" max="25" width="17.26953125" bestFit="1" customWidth="1"/>
    <col min="26" max="26" width="19.1796875" bestFit="1" customWidth="1"/>
    <col min="27" max="27" width="18.08984375" bestFit="1" customWidth="1"/>
    <col min="28" max="28" width="11.6328125" bestFit="1" customWidth="1"/>
    <col min="29" max="29" width="18.26953125" bestFit="1" customWidth="1"/>
    <col min="30" max="30" width="14.08984375" bestFit="1" customWidth="1"/>
    <col min="31" max="31" width="16.1796875" bestFit="1" customWidth="1"/>
    <col min="32" max="32" width="18.6328125" bestFit="1" customWidth="1"/>
    <col min="33" max="33" width="17.81640625" bestFit="1" customWidth="1"/>
    <col min="34" max="34" width="16" bestFit="1" customWidth="1"/>
    <col min="35" max="36" width="17.36328125" bestFit="1" customWidth="1"/>
    <col min="37" max="37" width="11" bestFit="1" customWidth="1"/>
    <col min="38" max="38" width="18.54296875" bestFit="1" customWidth="1"/>
    <col min="39" max="39" width="15.54296875" bestFit="1" customWidth="1"/>
  </cols>
  <sheetData>
    <row r="1" spans="1:39" x14ac:dyDescent="0.35">
      <c r="A1" s="2" t="s">
        <v>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80</v>
      </c>
      <c r="AB1" s="2" t="s">
        <v>81</v>
      </c>
      <c r="AC1" s="2" t="s">
        <v>82</v>
      </c>
      <c r="AD1" s="2" t="s">
        <v>83</v>
      </c>
      <c r="AE1" s="2" t="s">
        <v>84</v>
      </c>
      <c r="AF1" s="2" t="s">
        <v>85</v>
      </c>
      <c r="AG1" s="2" t="s">
        <v>86</v>
      </c>
      <c r="AH1" s="2" t="s">
        <v>87</v>
      </c>
      <c r="AI1" s="2" t="s">
        <v>88</v>
      </c>
      <c r="AJ1" s="2" t="s">
        <v>89</v>
      </c>
      <c r="AK1" s="2" t="s">
        <v>90</v>
      </c>
      <c r="AL1" s="2" t="s">
        <v>91</v>
      </c>
      <c r="AM1" s="2" t="s">
        <v>92</v>
      </c>
    </row>
    <row r="2" spans="1:39" x14ac:dyDescent="0.35">
      <c r="A2" t="s">
        <v>4</v>
      </c>
      <c r="B2" s="3">
        <v>1</v>
      </c>
      <c r="C2" s="3">
        <v>1</v>
      </c>
      <c r="D2" s="3">
        <v>1</v>
      </c>
      <c r="E2" s="3">
        <v>3.2</v>
      </c>
      <c r="F2" s="3">
        <v>1</v>
      </c>
      <c r="G2" s="3">
        <v>3.6</v>
      </c>
      <c r="H2" s="3">
        <v>1</v>
      </c>
      <c r="I2" s="3">
        <v>1</v>
      </c>
      <c r="J2" s="3">
        <v>1</v>
      </c>
      <c r="K2" s="3">
        <v>4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4.2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4</v>
      </c>
      <c r="AG2" s="3">
        <v>1</v>
      </c>
      <c r="AH2" s="3">
        <v>1</v>
      </c>
      <c r="AI2" s="3">
        <v>2</v>
      </c>
      <c r="AJ2" s="3">
        <v>1</v>
      </c>
      <c r="AK2" s="3">
        <v>1</v>
      </c>
      <c r="AL2" s="3">
        <v>3.8</v>
      </c>
      <c r="AM2" s="3">
        <v>2.4</v>
      </c>
    </row>
    <row r="3" spans="1:39" x14ac:dyDescent="0.35">
      <c r="A3" t="s">
        <v>5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</row>
    <row r="4" spans="1:39" x14ac:dyDescent="0.35">
      <c r="A4" t="s">
        <v>6</v>
      </c>
      <c r="B4" s="3">
        <v>1</v>
      </c>
      <c r="C4" s="3">
        <v>1</v>
      </c>
      <c r="D4" s="3">
        <v>1</v>
      </c>
      <c r="E4" s="3">
        <v>4</v>
      </c>
      <c r="F4" s="3">
        <v>1</v>
      </c>
      <c r="G4" s="3">
        <v>4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</row>
    <row r="5" spans="1:39" x14ac:dyDescent="0.35">
      <c r="A5" t="s">
        <v>7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4.5999999999999996</v>
      </c>
      <c r="P5" s="3">
        <v>4.2</v>
      </c>
      <c r="Q5" s="3">
        <v>1</v>
      </c>
      <c r="R5" s="3">
        <v>1</v>
      </c>
      <c r="S5" s="3">
        <v>3.6</v>
      </c>
      <c r="T5" s="3">
        <v>3.2</v>
      </c>
      <c r="U5" s="3">
        <v>4.4000000000000004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3.6</v>
      </c>
      <c r="AD5" s="3">
        <v>1</v>
      </c>
      <c r="AE5" s="3">
        <v>1</v>
      </c>
      <c r="AF5" s="3">
        <v>1</v>
      </c>
      <c r="AG5" s="3">
        <v>4</v>
      </c>
      <c r="AH5" s="3">
        <v>1</v>
      </c>
      <c r="AI5" s="3">
        <v>4</v>
      </c>
      <c r="AJ5" s="3">
        <v>1</v>
      </c>
      <c r="AK5" s="3">
        <v>1</v>
      </c>
      <c r="AL5" s="3">
        <v>3.8</v>
      </c>
      <c r="AM5" s="3">
        <v>4</v>
      </c>
    </row>
    <row r="6" spans="1:39" x14ac:dyDescent="0.35">
      <c r="A6" t="s">
        <v>8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</row>
    <row r="7" spans="1:39" x14ac:dyDescent="0.35">
      <c r="A7" t="s">
        <v>9</v>
      </c>
      <c r="B7" s="3">
        <v>5</v>
      </c>
      <c r="C7" s="3">
        <v>1</v>
      </c>
      <c r="D7" s="3">
        <v>1</v>
      </c>
      <c r="E7" s="3">
        <v>1</v>
      </c>
      <c r="F7" s="3">
        <v>3.6</v>
      </c>
      <c r="G7" s="3">
        <v>1</v>
      </c>
      <c r="H7" s="3">
        <v>1</v>
      </c>
      <c r="I7" s="3">
        <v>1</v>
      </c>
      <c r="J7" s="3">
        <v>5.5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4.2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5.8</v>
      </c>
      <c r="AK7" s="3">
        <v>5.2</v>
      </c>
      <c r="AL7" s="3">
        <v>1</v>
      </c>
      <c r="AM7" s="3">
        <v>1</v>
      </c>
    </row>
    <row r="8" spans="1:39" x14ac:dyDescent="0.35">
      <c r="A8" t="s">
        <v>10</v>
      </c>
      <c r="B8" s="3">
        <v>1</v>
      </c>
      <c r="C8" s="3">
        <v>3.2</v>
      </c>
      <c r="D8" s="3">
        <v>4</v>
      </c>
      <c r="E8" s="3">
        <v>1</v>
      </c>
      <c r="F8" s="3">
        <v>1</v>
      </c>
      <c r="G8" s="3">
        <v>1</v>
      </c>
      <c r="H8" s="3">
        <v>1</v>
      </c>
      <c r="I8" s="3">
        <v>4</v>
      </c>
      <c r="J8" s="3">
        <v>1</v>
      </c>
      <c r="K8" s="3">
        <v>1</v>
      </c>
      <c r="L8" s="3">
        <v>4.5999999999999996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10</v>
      </c>
      <c r="Y8" s="3">
        <v>6</v>
      </c>
      <c r="Z8" s="3">
        <v>1</v>
      </c>
      <c r="AA8" s="3">
        <v>1</v>
      </c>
      <c r="AB8" s="3">
        <v>4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2.5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</row>
    <row r="9" spans="1:39" x14ac:dyDescent="0.35">
      <c r="A9" t="s">
        <v>11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4</v>
      </c>
      <c r="I9" s="3">
        <v>1</v>
      </c>
      <c r="J9" s="3">
        <v>1</v>
      </c>
      <c r="K9" s="3">
        <v>1</v>
      </c>
      <c r="L9" s="3">
        <v>4.8</v>
      </c>
      <c r="M9" s="3">
        <v>4</v>
      </c>
      <c r="N9" s="3">
        <v>7</v>
      </c>
      <c r="O9" s="3">
        <v>1</v>
      </c>
      <c r="P9" s="3">
        <v>1</v>
      </c>
      <c r="Q9" s="3">
        <v>4</v>
      </c>
      <c r="R9" s="3">
        <v>1</v>
      </c>
      <c r="S9" s="3">
        <v>1</v>
      </c>
      <c r="T9" s="3">
        <v>1</v>
      </c>
      <c r="U9" s="3">
        <v>1</v>
      </c>
      <c r="V9" s="3">
        <v>4</v>
      </c>
      <c r="W9" s="3">
        <v>4</v>
      </c>
      <c r="X9" s="3">
        <v>1</v>
      </c>
      <c r="Y9" s="3">
        <v>1</v>
      </c>
      <c r="Z9" s="3">
        <v>4</v>
      </c>
      <c r="AA9" s="3">
        <v>4</v>
      </c>
      <c r="AB9" s="3">
        <v>1</v>
      </c>
      <c r="AC9" s="3">
        <v>1</v>
      </c>
      <c r="AD9" s="3">
        <v>1</v>
      </c>
      <c r="AE9" s="3">
        <v>4</v>
      </c>
      <c r="AF9" s="3">
        <v>1</v>
      </c>
      <c r="AG9" s="3">
        <v>1</v>
      </c>
      <c r="AH9" s="3">
        <v>4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EC5F-4FCE-4AD9-89A8-4A3D491A8DF8}">
  <dimension ref="A1:B13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baseColWidth="10" defaultRowHeight="14.5" x14ac:dyDescent="0.35"/>
  <cols>
    <col min="1" max="1" width="28.6328125" customWidth="1"/>
    <col min="2" max="2" width="14.6328125" customWidth="1"/>
  </cols>
  <sheetData>
    <row r="1" spans="1:2" x14ac:dyDescent="0.35">
      <c r="A1" s="2" t="s">
        <v>93</v>
      </c>
      <c r="B1" s="2" t="s">
        <v>94</v>
      </c>
    </row>
    <row r="2" spans="1:2" x14ac:dyDescent="0.35">
      <c r="A2" t="s">
        <v>95</v>
      </c>
      <c r="B2" s="3">
        <v>30</v>
      </c>
    </row>
    <row r="3" spans="1:2" x14ac:dyDescent="0.35">
      <c r="A3" t="s">
        <v>96</v>
      </c>
      <c r="B3" s="3">
        <v>9</v>
      </c>
    </row>
    <row r="4" spans="1:2" x14ac:dyDescent="0.35">
      <c r="A4" t="s">
        <v>97</v>
      </c>
      <c r="B4" s="3">
        <v>90</v>
      </c>
    </row>
    <row r="5" spans="1:2" x14ac:dyDescent="0.35">
      <c r="A5" t="s">
        <v>98</v>
      </c>
      <c r="B5" s="3">
        <v>10</v>
      </c>
    </row>
    <row r="6" spans="1:2" x14ac:dyDescent="0.35">
      <c r="A6" t="s">
        <v>99</v>
      </c>
      <c r="B6" s="3">
        <v>10</v>
      </c>
    </row>
    <row r="7" spans="1:2" x14ac:dyDescent="0.35">
      <c r="A7" t="s">
        <v>100</v>
      </c>
      <c r="B7" s="3">
        <v>3</v>
      </c>
    </row>
    <row r="8" spans="1:2" x14ac:dyDescent="0.35">
      <c r="A8" t="s">
        <v>101</v>
      </c>
      <c r="B8" s="3">
        <v>3</v>
      </c>
    </row>
    <row r="9" spans="1:2" x14ac:dyDescent="0.35">
      <c r="A9" t="s">
        <v>102</v>
      </c>
      <c r="B9" s="3">
        <v>3</v>
      </c>
    </row>
    <row r="10" spans="1:2" x14ac:dyDescent="0.35">
      <c r="A10" t="s">
        <v>103</v>
      </c>
      <c r="B10" s="3">
        <v>70</v>
      </c>
    </row>
    <row r="11" spans="1:2" x14ac:dyDescent="0.35">
      <c r="A11" t="s">
        <v>104</v>
      </c>
      <c r="B11" s="3">
        <v>3</v>
      </c>
    </row>
    <row r="12" spans="1:2" x14ac:dyDescent="0.35">
      <c r="A12" t="s">
        <v>105</v>
      </c>
      <c r="B12" s="3">
        <v>3</v>
      </c>
    </row>
    <row r="13" spans="1:2" x14ac:dyDescent="0.35">
      <c r="A13" t="s">
        <v>106</v>
      </c>
      <c r="B13" s="3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5B73-1028-4FA8-98FC-EB1ECE2AF612}">
  <dimension ref="A1:D9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baseColWidth="10" defaultRowHeight="14.5" x14ac:dyDescent="0.35"/>
  <cols>
    <col min="1" max="1" width="16.6328125" customWidth="1"/>
    <col min="2" max="4" width="12.6328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4">
        <v>90</v>
      </c>
      <c r="C2" s="5">
        <v>10</v>
      </c>
      <c r="D2" s="6">
        <v>10</v>
      </c>
    </row>
    <row r="3" spans="1:4" x14ac:dyDescent="0.35">
      <c r="A3" s="1" t="s">
        <v>5</v>
      </c>
      <c r="B3" s="4">
        <v>63.6</v>
      </c>
      <c r="C3" s="5">
        <v>34.200000000000003</v>
      </c>
      <c r="D3" s="6">
        <v>2.2000000000000002</v>
      </c>
    </row>
    <row r="4" spans="1:4" x14ac:dyDescent="0.35">
      <c r="A4" s="1" t="s">
        <v>6</v>
      </c>
      <c r="B4" s="4">
        <v>96</v>
      </c>
      <c r="C4" s="5">
        <v>3</v>
      </c>
      <c r="D4" s="6">
        <v>1</v>
      </c>
    </row>
    <row r="5" spans="1:4" x14ac:dyDescent="0.35">
      <c r="A5" s="1" t="s">
        <v>7</v>
      </c>
      <c r="B5" s="4">
        <v>85</v>
      </c>
      <c r="C5" s="5">
        <v>10</v>
      </c>
      <c r="D5" s="6">
        <v>15</v>
      </c>
    </row>
    <row r="6" spans="1:4" x14ac:dyDescent="0.35">
      <c r="A6" s="1" t="s">
        <v>8</v>
      </c>
      <c r="B6" s="4">
        <v>65</v>
      </c>
      <c r="C6" s="5">
        <v>5</v>
      </c>
      <c r="D6" s="6">
        <v>30</v>
      </c>
    </row>
    <row r="7" spans="1:4" x14ac:dyDescent="0.35">
      <c r="A7" s="1" t="s">
        <v>9</v>
      </c>
      <c r="B7" s="4">
        <v>85</v>
      </c>
      <c r="C7" s="5">
        <v>10</v>
      </c>
      <c r="D7" s="6">
        <v>15</v>
      </c>
    </row>
    <row r="8" spans="1:4" x14ac:dyDescent="0.35">
      <c r="A8" s="1" t="s">
        <v>10</v>
      </c>
      <c r="B8" s="4">
        <v>85</v>
      </c>
      <c r="C8" s="5">
        <v>10</v>
      </c>
      <c r="D8" s="6">
        <v>15</v>
      </c>
    </row>
    <row r="9" spans="1:4" x14ac:dyDescent="0.35">
      <c r="A9" s="1" t="s">
        <v>11</v>
      </c>
      <c r="B9" s="4">
        <v>90</v>
      </c>
      <c r="C9" s="5">
        <v>10</v>
      </c>
      <c r="D9" s="6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class_view</vt:lpstr>
      <vt:lpstr>base_stats</vt:lpstr>
      <vt:lpstr>attributes</vt:lpstr>
      <vt:lpstr>abilities</vt:lpstr>
      <vt:lpstr>meta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Bruns</dc:creator>
  <cp:lastModifiedBy>Kurt Bruns</cp:lastModifiedBy>
  <dcterms:created xsi:type="dcterms:W3CDTF">2026-03-15T10:43:18Z</dcterms:created>
  <dcterms:modified xsi:type="dcterms:W3CDTF">2026-03-15T10:43:21Z</dcterms:modified>
</cp:coreProperties>
</file>