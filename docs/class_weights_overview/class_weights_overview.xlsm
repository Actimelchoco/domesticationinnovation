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bruns\Documents\Workspace\DomesticationInnovation-main\docs\class_weights_overview\"/>
    </mc:Choice>
  </mc:AlternateContent>
  <xr:revisionPtr revIDLastSave="0" documentId="8_{0FB3DB7C-005E-47F2-8432-4BC12999BE03}" xr6:coauthVersionLast="47" xr6:coauthVersionMax="47" xr10:uidLastSave="{00000000-0000-0000-0000-000000000000}"/>
  <bookViews>
    <workbookView xWindow="3140" yWindow="3140" windowWidth="19200" windowHeight="11170" xr2:uid="{84676694-052B-42BF-8B1E-828E66F8A8F1}"/>
  </bookViews>
  <sheets>
    <sheet name="class_view" sheetId="8" r:id="rId1"/>
    <sheet name="base_stats" sheetId="3" r:id="rId2"/>
    <sheet name="attributes" sheetId="4" r:id="rId3"/>
    <sheet name="abilities" sheetId="5" r:id="rId4"/>
    <sheet name="class_risk" sheetId="6" r:id="rId5"/>
    <sheet name="meta" sheetId="7" r:id="rId6"/>
    <sheet name="categories" sheetId="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9" i="8" l="1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E12" i="8"/>
  <c r="E11" i="8"/>
  <c r="E10" i="8"/>
  <c r="E9" i="8"/>
  <c r="E8" i="8"/>
  <c r="E7" i="8"/>
  <c r="E6" i="8"/>
  <c r="P7" i="8"/>
  <c r="P6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D12" i="8"/>
  <c r="D11" i="8"/>
  <c r="D10" i="8"/>
  <c r="D9" i="8"/>
  <c r="D8" i="8"/>
  <c r="D7" i="8"/>
  <c r="D6" i="8"/>
  <c r="M49" i="8"/>
  <c r="M48" i="8"/>
  <c r="M38" i="8"/>
  <c r="M28" i="8"/>
  <c r="M18" i="8"/>
  <c r="M8" i="8"/>
  <c r="I46" i="8"/>
  <c r="I36" i="8"/>
  <c r="I26" i="8"/>
  <c r="I16" i="8"/>
  <c r="M27" i="8"/>
  <c r="M17" i="8"/>
  <c r="M7" i="8"/>
  <c r="I45" i="8"/>
  <c r="I35" i="8"/>
  <c r="I25" i="8"/>
  <c r="I15" i="8"/>
  <c r="M26" i="8"/>
  <c r="M16" i="8"/>
  <c r="M6" i="8"/>
  <c r="I44" i="8"/>
  <c r="I34" i="8"/>
  <c r="I24" i="8"/>
  <c r="I14" i="8"/>
  <c r="M23" i="8"/>
  <c r="I31" i="8"/>
  <c r="P13" i="8"/>
  <c r="P12" i="8"/>
  <c r="M12" i="8"/>
  <c r="I40" i="8"/>
  <c r="I20" i="8"/>
  <c r="M41" i="8"/>
  <c r="I19" i="8"/>
  <c r="M20" i="8"/>
  <c r="I48" i="8"/>
  <c r="M19" i="8"/>
  <c r="I27" i="8"/>
  <c r="I6" i="8"/>
  <c r="M22" i="8"/>
  <c r="I10" i="8"/>
  <c r="M21" i="8"/>
  <c r="I49" i="8"/>
  <c r="I9" i="8"/>
  <c r="M30" i="8"/>
  <c r="I38" i="8"/>
  <c r="M29" i="8"/>
  <c r="I17" i="8"/>
  <c r="M47" i="8"/>
  <c r="M37" i="8"/>
  <c r="M46" i="8"/>
  <c r="M36" i="8"/>
  <c r="M45" i="8"/>
  <c r="M15" i="8"/>
  <c r="I33" i="8"/>
  <c r="I13" i="8"/>
  <c r="M44" i="8"/>
  <c r="M14" i="8"/>
  <c r="I42" i="8"/>
  <c r="I22" i="8"/>
  <c r="P14" i="8"/>
  <c r="M33" i="8"/>
  <c r="I51" i="8"/>
  <c r="I21" i="8"/>
  <c r="M32" i="8"/>
  <c r="I30" i="8"/>
  <c r="M31" i="8"/>
  <c r="I39" i="8"/>
  <c r="M10" i="8"/>
  <c r="I28" i="8"/>
  <c r="I8" i="8"/>
  <c r="M39" i="8"/>
  <c r="I47" i="8"/>
  <c r="M35" i="8"/>
  <c r="M25" i="8"/>
  <c r="I53" i="8"/>
  <c r="I43" i="8"/>
  <c r="I23" i="8"/>
  <c r="M34" i="8"/>
  <c r="M24" i="8"/>
  <c r="I52" i="8"/>
  <c r="I32" i="8"/>
  <c r="I12" i="8"/>
  <c r="M43" i="8"/>
  <c r="M13" i="8"/>
  <c r="I41" i="8"/>
  <c r="I11" i="8"/>
  <c r="M42" i="8"/>
  <c r="I50" i="8"/>
  <c r="P11" i="8"/>
  <c r="M11" i="8"/>
  <c r="I29" i="8"/>
  <c r="M40" i="8"/>
  <c r="I18" i="8"/>
  <c r="M9" i="8"/>
  <c r="I37" i="8"/>
  <c r="I7" i="8"/>
</calcChain>
</file>

<file path=xl/sharedStrings.xml><?xml version="1.0" encoding="utf-8"?>
<sst xmlns="http://schemas.openxmlformats.org/spreadsheetml/2006/main" count="355" uniqueCount="183">
  <si>
    <t>class</t>
  </si>
  <si>
    <t>base</t>
  </si>
  <si>
    <t>attribute</t>
  </si>
  <si>
    <t>ability</t>
  </si>
  <si>
    <t>preferredAttributeWeightMultiplier</t>
  </si>
  <si>
    <t>preferredAbilityWeightMultiplier</t>
  </si>
  <si>
    <t>autoPreferredWeightBalance</t>
  </si>
  <si>
    <t>assassin</t>
  </si>
  <si>
    <t>attributer</t>
  </si>
  <si>
    <t>bee</t>
  </si>
  <si>
    <t>blaze</t>
  </si>
  <si>
    <t>crackhead</t>
  </si>
  <si>
    <t>creeper</t>
  </si>
  <si>
    <t>defuser</t>
  </si>
  <si>
    <t>desmond doss</t>
  </si>
  <si>
    <t>disco</t>
  </si>
  <si>
    <t>dolphin</t>
  </si>
  <si>
    <t>dps</t>
  </si>
  <si>
    <t>enderman</t>
  </si>
  <si>
    <t>evoker</t>
  </si>
  <si>
    <t>fisher</t>
  </si>
  <si>
    <t>frost</t>
  </si>
  <si>
    <t>ghast</t>
  </si>
  <si>
    <t>guardian</t>
  </si>
  <si>
    <t>healer</t>
  </si>
  <si>
    <t>iron_golem</t>
  </si>
  <si>
    <t>knight</t>
  </si>
  <si>
    <t>mage</t>
  </si>
  <si>
    <t>maniac</t>
  </si>
  <si>
    <t>none</t>
  </si>
  <si>
    <t>phantom</t>
  </si>
  <si>
    <t>piglin</t>
  </si>
  <si>
    <t>protector</t>
  </si>
  <si>
    <t>shooter</t>
  </si>
  <si>
    <t>shulker</t>
  </si>
  <si>
    <t>skeleton</t>
  </si>
  <si>
    <t>slime</t>
  </si>
  <si>
    <t>speedster</t>
  </si>
  <si>
    <t>spider</t>
  </si>
  <si>
    <t>supporter</t>
  </si>
  <si>
    <t>tanker</t>
  </si>
  <si>
    <t>thor</t>
  </si>
  <si>
    <t>warden</t>
  </si>
  <si>
    <t>witch</t>
  </si>
  <si>
    <t>wither</t>
  </si>
  <si>
    <t>zombie</t>
  </si>
  <si>
    <t>hp</t>
  </si>
  <si>
    <t>damage</t>
  </si>
  <si>
    <t>speed</t>
  </si>
  <si>
    <t>armor</t>
  </si>
  <si>
    <t>armor_toughness</t>
  </si>
  <si>
    <t>knockback</t>
  </si>
  <si>
    <t>knockback_resist</t>
  </si>
  <si>
    <t>ability_power</t>
  </si>
  <si>
    <t>amphibious</t>
  </si>
  <si>
    <t>bane_of_arthropods</t>
  </si>
  <si>
    <t>blazing_protection</t>
  </si>
  <si>
    <t>bosskiller</t>
  </si>
  <si>
    <t>bubbling</t>
  </si>
  <si>
    <t>chain_lightning</t>
  </si>
  <si>
    <t>charisma</t>
  </si>
  <si>
    <t>comfort</t>
  </si>
  <si>
    <t>disc_jockey</t>
  </si>
  <si>
    <t>emergency_cooldown_reduction</t>
  </si>
  <si>
    <t>explosion_resistance</t>
  </si>
  <si>
    <t>feather_falling</t>
  </si>
  <si>
    <t>fire_resistance</t>
  </si>
  <si>
    <t>firefang</t>
  </si>
  <si>
    <t>frost_fang</t>
  </si>
  <si>
    <t>gluttonous</t>
  </si>
  <si>
    <t>health_siphon</t>
  </si>
  <si>
    <t>herding</t>
  </si>
  <si>
    <t>jump_boost</t>
  </si>
  <si>
    <t>killer</t>
  </si>
  <si>
    <t>killexploder</t>
  </si>
  <si>
    <t>lifesteal</t>
  </si>
  <si>
    <t>lightningfang</t>
  </si>
  <si>
    <t>linked_inventory</t>
  </si>
  <si>
    <t>magnetic</t>
  </si>
  <si>
    <t>muffled</t>
  </si>
  <si>
    <t>negative_effect_transfer</t>
  </si>
  <si>
    <t>ore_scenting</t>
  </si>
  <si>
    <t>pacifist</t>
  </si>
  <si>
    <t>pierce</t>
  </si>
  <si>
    <t>poison_fang</t>
  </si>
  <si>
    <t>poison_resistance</t>
  </si>
  <si>
    <t>positive_effect_steal</t>
  </si>
  <si>
    <t>regeneration</t>
  </si>
  <si>
    <t>rejuvenation</t>
  </si>
  <si>
    <t>resistance</t>
  </si>
  <si>
    <t>smite</t>
  </si>
  <si>
    <t>strength</t>
  </si>
  <si>
    <t>sweeping_edge</t>
  </si>
  <si>
    <t>tethered_teleport</t>
  </si>
  <si>
    <t>totem</t>
  </si>
  <si>
    <t>victim_siphon</t>
  </si>
  <si>
    <t>void_cloud</t>
  </si>
  <si>
    <t>wall_climber</t>
  </si>
  <si>
    <t>warping_bite</t>
  </si>
  <si>
    <t>witherfang</t>
  </si>
  <si>
    <t>arrow_shot</t>
  </si>
  <si>
    <t>battle_strength</t>
  </si>
  <si>
    <t>battlefield_medic</t>
  </si>
  <si>
    <t>berserker</t>
  </si>
  <si>
    <t>blaze_attack</t>
  </si>
  <si>
    <t>bloodlust</t>
  </si>
  <si>
    <t>body_block</t>
  </si>
  <si>
    <t>cleanse_touch</t>
  </si>
  <si>
    <t>creeper_explosion</t>
  </si>
  <si>
    <t>crossbow</t>
  </si>
  <si>
    <t>dash</t>
  </si>
  <si>
    <t>defensive_aura</t>
  </si>
  <si>
    <t>deflection</t>
  </si>
  <si>
    <t>defusal</t>
  </si>
  <si>
    <t>dragon_fireball</t>
  </si>
  <si>
    <t>elder_guardian_beam</t>
  </si>
  <si>
    <t>emergency_shield</t>
  </si>
  <si>
    <t>ender_pearl_jump</t>
  </si>
  <si>
    <t>evoker_fangs</t>
  </si>
  <si>
    <t>fishing</t>
  </si>
  <si>
    <t>ghast_fireball</t>
  </si>
  <si>
    <t>guardian_beam</t>
  </si>
  <si>
    <t>guardian_intercept</t>
  </si>
  <si>
    <t>guardian_repulse</t>
  </si>
  <si>
    <t>healing_aura</t>
  </si>
  <si>
    <t>healing_bottle</t>
  </si>
  <si>
    <t>immunity_frame</t>
  </si>
  <si>
    <t>last_stand_fury</t>
  </si>
  <si>
    <t>life_gift</t>
  </si>
  <si>
    <t>lightning_strike</t>
  </si>
  <si>
    <t>llama_spit</t>
  </si>
  <si>
    <t>pack_guard</t>
  </si>
  <si>
    <t>psychic_wall</t>
  </si>
  <si>
    <t>retaliation_slow</t>
  </si>
  <si>
    <t>revitalizing_presence</t>
  </si>
  <si>
    <t>shadow_hands</t>
  </si>
  <si>
    <t>shield_block</t>
  </si>
  <si>
    <t>shulker_bullet</t>
  </si>
  <si>
    <t>sky_launch</t>
  </si>
  <si>
    <t>snowball_shot</t>
  </si>
  <si>
    <t>triage_pulse</t>
  </si>
  <si>
    <t>trident</t>
  </si>
  <si>
    <t>warden_scream</t>
  </si>
  <si>
    <t>wither_skull</t>
  </si>
  <si>
    <t>ability_nonpreferred_100</t>
  </si>
  <si>
    <t>ability_nonpreferred_200</t>
  </si>
  <si>
    <t>attribute_nonpreferred_100</t>
  </si>
  <si>
    <t>attribute_nonpreferred_200</t>
  </si>
  <si>
    <t>key</t>
  </si>
  <si>
    <t>value</t>
  </si>
  <si>
    <t>defaultCategory.base</t>
  </si>
  <si>
    <t>defaultCategory.attribute</t>
  </si>
  <si>
    <t>defaultCategory.ability</t>
  </si>
  <si>
    <t>defaultBaseStat.armor</t>
  </si>
  <si>
    <t>defaultBaseStat.armor_toughness</t>
  </si>
  <si>
    <t>defaultBaseStat.damage</t>
  </si>
  <si>
    <t>defaultBaseStat.hp</t>
  </si>
  <si>
    <t>defaultBaseStat.knockback</t>
  </si>
  <si>
    <t>defaultBaseStat.knockback_resist</t>
  </si>
  <si>
    <t>defaultBaseStat.speed</t>
  </si>
  <si>
    <t>Class Overview</t>
  </si>
  <si>
    <t>Selected class</t>
  </si>
  <si>
    <t>weight</t>
  </si>
  <si>
    <t>name</t>
  </si>
  <si>
    <t>Attr sort</t>
  </si>
  <si>
    <t>Ability sort</t>
  </si>
  <si>
    <t>Categories</t>
  </si>
  <si>
    <t>pref attr mult</t>
  </si>
  <si>
    <t>pref ability mult</t>
  </si>
  <si>
    <t>auto pref balance</t>
  </si>
  <si>
    <t>Base Stats</t>
  </si>
  <si>
    <t>Weight</t>
  </si>
  <si>
    <t>Attributes</t>
  </si>
  <si>
    <t>First %</t>
  </si>
  <si>
    <t>Abilities</t>
  </si>
  <si>
    <t>Meta</t>
  </si>
  <si>
    <t>default preferredAttributeWeightMultiplier</t>
  </si>
  <si>
    <t>default preferredAbilityWeightMultiplier</t>
  </si>
  <si>
    <t>Rough Risk</t>
  </si>
  <si>
    <t>non-pref ability by 100</t>
  </si>
  <si>
    <t>non-pref ability by 200</t>
  </si>
  <si>
    <t>non-pref attribute by 100</t>
  </si>
  <si>
    <t>non-pref attribute by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</si>
</sst>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,###"/>
    <numFmt numFmtId="165" formatCode="#,#00\%"/>
    <numFmt numFmtId="166" formatCode="#,#00%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3EAD9"/>
        <bgColor indexed="64"/>
      </patternFill>
    </fill>
    <fill>
      <patternFill patternType="solid">
        <fgColor rgb="FFE3E0D0"/>
        <bgColor indexed="64"/>
      </patternFill>
    </fill>
    <fill>
      <patternFill patternType="solid">
        <fgColor rgb="FFCCCCF4"/>
        <bgColor indexed="64"/>
      </patternFill>
    </fill>
    <fill>
      <patternFill patternType="solid">
        <fgColor rgb="FFCCF2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0" fillId="5" borderId="0" xfId="0" applyFill="1"/>
    <xf numFmtId="0" fontId="1" fillId="5" borderId="0" xfId="0" applyFont="1" applyFill="1"/>
    <xf numFmtId="0" fontId="1" fillId="0" borderId="1" xfId="0" applyFont="1" applyBorder="1"/>
    <xf numFmtId="0" fontId="0" fillId="0" borderId="1" xfId="0" applyBorder="1"/>
    <xf numFmtId="165" fontId="0" fillId="0" borderId="1" xfId="0" applyNumberFormat="1" applyBorder="1"/>
    <xf numFmtId="1" fontId="0" fillId="0" borderId="1" xfId="0" applyNumberFormat="1" applyBorder="1"/>
    <xf numFmtId="164" fontId="0" fillId="0" borderId="1" xfId="0" applyNumberFormat="1" applyBorder="1"/>
    <xf numFmtId="166" fontId="0" fillId="0" borderId="1" xfId="0" applyNumberFormat="1" applyBorder="1"/>
  </cellXfs>
  <cellStyles count="1">
    <cellStyle name="Standard" xfId="0" builtinId="0"/>
  </cellStyles>
  <dxfs count="117">
    <dxf>
      <numFmt numFmtId="164" formatCode="00,###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65" formatCode="#,#00\%"/>
      <fill>
        <patternFill patternType="solid">
          <fgColor indexed="64"/>
          <bgColor rgb="FFCCCCF4"/>
        </patternFill>
      </fill>
      <alignment horizontal="center" vertical="bottom" textRotation="0" wrapText="0" indent="0" justifyLastLine="0" shrinkToFit="0" readingOrder="0"/>
    </dxf>
    <dxf>
      <numFmt numFmtId="164" formatCode="00,###"/>
      <alignment horizontal="center" vertical="bottom" textRotation="0" wrapText="0" indent="0" justifyLastLine="0" shrinkToFit="0" readingOrder="0"/>
    </dxf>
    <dxf>
      <numFmt numFmtId="165" formatCode="#,#00\%"/>
      <fill>
        <patternFill patternType="solid">
          <fgColor indexed="64"/>
          <bgColor rgb="FFE3E0D0"/>
        </patternFill>
      </fill>
      <alignment horizontal="center" vertical="bottom" textRotation="0" wrapText="0" indent="0" justifyLastLine="0" shrinkToFit="0" readingOrder="0"/>
    </dxf>
    <dxf>
      <numFmt numFmtId="165" formatCode="#,#00\%"/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font>
        <b/>
      </font>
    </dxf>
    <dxf>
      <numFmt numFmtId="164" formatCode="00,###"/>
      <alignment horizontal="center" vertical="bottom" textRotation="0" wrapText="0" indent="0" justifyLastLine="0" shrinkToFit="0" readingOrder="0"/>
    </dxf>
    <dxf>
      <numFmt numFmtId="164" formatCode="00,###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152400</xdr:rowOff>
    </xdr:from>
    <xdr:to>
      <xdr:col>4</xdr:col>
      <xdr:colOff>260350</xdr:colOff>
      <xdr:row>2</xdr:row>
      <xdr:rowOff>57150</xdr:rowOff>
    </xdr:to>
    <xdr:sp macro="ApplyClassViewEdits" textlink="">
      <xdr:nvSpPr>
        <xdr:cNvPr id="2" name="Rechteck 1">
          <a:extLst>
            <a:ext uri="{FF2B5EF4-FFF2-40B4-BE49-F238E27FC236}">
              <a16:creationId xmlns:a16="http://schemas.microsoft.com/office/drawing/2014/main" id="{350713B9-A1B6-1D23-1230-70F9D311CFAF}"/>
            </a:ext>
          </a:extLst>
        </xdr:cNvPr>
        <xdr:cNvSpPr/>
      </xdr:nvSpPr>
      <xdr:spPr>
        <a:xfrm>
          <a:off x="3302000" y="152400"/>
          <a:ext cx="1905000" cy="355600"/>
        </a:xfrm>
        <a:prstGeom prst="rect">
          <a:avLst/>
        </a:prstGeom>
        <a:solidFill>
          <a:srgbClr val="F8DAC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Apply Edits To JSON</a:t>
          </a:r>
        </a:p>
      </xdr:txBody>
    </xdr:sp>
    <xdr:clientData/>
  </xdr:twoCellAnchor>
  <xdr:twoCellAnchor>
    <xdr:from>
      <xdr:col>4</xdr:col>
      <xdr:colOff>387350</xdr:colOff>
      <xdr:row>0</xdr:row>
      <xdr:rowOff>152400</xdr:rowOff>
    </xdr:from>
    <xdr:to>
      <xdr:col>6</xdr:col>
      <xdr:colOff>266700</xdr:colOff>
      <xdr:row>2</xdr:row>
      <xdr:rowOff>57150</xdr:rowOff>
    </xdr:to>
    <xdr:sp macro="LoadSelectedClassView" textlink="">
      <xdr:nvSpPr>
        <xdr:cNvPr id="3" name="Rechteck 2">
          <a:extLst>
            <a:ext uri="{FF2B5EF4-FFF2-40B4-BE49-F238E27FC236}">
              <a16:creationId xmlns:a16="http://schemas.microsoft.com/office/drawing/2014/main" id="{A4CBD073-3047-6971-E9F0-5ED5DAEAC7FE}"/>
            </a:ext>
          </a:extLst>
        </xdr:cNvPr>
        <xdr:cNvSpPr/>
      </xdr:nvSpPr>
      <xdr:spPr>
        <a:xfrm>
          <a:off x="5334000" y="152400"/>
          <a:ext cx="1524000" cy="355600"/>
        </a:xfrm>
        <a:prstGeom prst="rect">
          <a:avLst/>
        </a:prstGeom>
        <a:solidFill>
          <a:srgbClr val="D3EAD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Reload Class</a:t>
          </a:r>
        </a:p>
      </xdr:txBody>
    </xdr:sp>
    <xdr:clientData/>
  </xdr:twoCellAnchor>
  <xdr:twoCellAnchor>
    <xdr:from>
      <xdr:col>6</xdr:col>
      <xdr:colOff>393700</xdr:colOff>
      <xdr:row>0</xdr:row>
      <xdr:rowOff>152400</xdr:rowOff>
    </xdr:from>
    <xdr:to>
      <xdr:col>6</xdr:col>
      <xdr:colOff>1917700</xdr:colOff>
      <xdr:row>2</xdr:row>
      <xdr:rowOff>57150</xdr:rowOff>
    </xdr:to>
    <xdr:sp macro="NewClassView" textlink="">
      <xdr:nvSpPr>
        <xdr:cNvPr id="4" name="Rechteck 3">
          <a:extLst>
            <a:ext uri="{FF2B5EF4-FFF2-40B4-BE49-F238E27FC236}">
              <a16:creationId xmlns:a16="http://schemas.microsoft.com/office/drawing/2014/main" id="{9A4AEA95-3162-51F8-D95B-2A32BF8759C5}"/>
            </a:ext>
          </a:extLst>
        </xdr:cNvPr>
        <xdr:cNvSpPr/>
      </xdr:nvSpPr>
      <xdr:spPr>
        <a:xfrm>
          <a:off x="6985000" y="152400"/>
          <a:ext cx="1524000" cy="355600"/>
        </a:xfrm>
        <a:prstGeom prst="rect">
          <a:avLst/>
        </a:prstGeom>
        <a:solidFill>
          <a:srgbClr val="CDE5F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New Class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D173D5-C6D8-45B0-A77F-FCF114115EDC}" name="tbl_base_stats" displayName="tbl_base_stats" ref="A1:H40" totalsRowShown="0" headerRowDxfId="108">
  <autoFilter ref="A1:H40" xr:uid="{EFD173D5-C6D8-45B0-A77F-FCF114115EDC}"/>
  <tableColumns count="8">
    <tableColumn id="1" xr3:uid="{1313E82F-1C37-48E8-AE9A-562A7BA1C05B}" name="class"/>
    <tableColumn id="2" xr3:uid="{6E364E48-772D-4D3D-B70E-E29FE843CB94}" name="hp" dataDxfId="107"/>
    <tableColumn id="3" xr3:uid="{ADF2064D-1CEE-47C2-9CBE-A787D1D2CC72}" name="damage" dataDxfId="106"/>
    <tableColumn id="4" xr3:uid="{CFFF958A-3565-4B20-8707-29687B5DC318}" name="speed" dataDxfId="105"/>
    <tableColumn id="5" xr3:uid="{3FB42AAB-9DD7-4C9E-A597-A9D7E9B51A97}" name="armor" dataDxfId="104"/>
    <tableColumn id="6" xr3:uid="{249692B1-82DA-4B31-A2AC-2B6F90D644C5}" name="armor_toughness" dataDxfId="103"/>
    <tableColumn id="7" xr3:uid="{53B28785-A9AE-45C6-9162-0E33D08E717C}" name="knockback" dataDxfId="102"/>
    <tableColumn id="8" xr3:uid="{A1D5317C-06CF-4F7F-ACC7-72F724F05176}" name="knockback_resist" dataDxfId="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2F840D-FE21-40AD-98A9-F9BA42D385CD}" name="tbl_attributes" displayName="tbl_attributes" ref="A1:AW40" totalsRowShown="0" headerRowDxfId="100">
  <autoFilter ref="A1:AW40" xr:uid="{812F840D-FE21-40AD-98A9-F9BA42D385CD}"/>
  <tableColumns count="49">
    <tableColumn id="1" xr3:uid="{B43667C1-1AEA-4978-962D-0097BF721833}" name="class"/>
    <tableColumn id="2" xr3:uid="{E22E4E62-C810-4E6F-BBB5-B163C6535345}" name="ability_power" dataDxfId="99"/>
    <tableColumn id="3" xr3:uid="{AF8430DC-B330-4AA0-B639-7022AC11D8B5}" name="amphibious" dataDxfId="98"/>
    <tableColumn id="4" xr3:uid="{0D818360-5CCF-4982-90E2-5D9C92167761}" name="bane_of_arthropods" dataDxfId="97"/>
    <tableColumn id="5" xr3:uid="{C1FC19CA-1D23-4569-B704-7F3BB4F2DC2C}" name="blazing_protection" dataDxfId="96"/>
    <tableColumn id="6" xr3:uid="{F059D8D1-2BBF-45D1-9ECC-8F4661FB9AD3}" name="bosskiller" dataDxfId="95"/>
    <tableColumn id="7" xr3:uid="{CE72C740-8566-41C0-8011-3F2AE5124E44}" name="bubbling" dataDxfId="94"/>
    <tableColumn id="8" xr3:uid="{583EDCEE-ED65-4D07-B472-F493AF9C626B}" name="chain_lightning" dataDxfId="93"/>
    <tableColumn id="9" xr3:uid="{6148150F-10C0-4415-A888-39796C828120}" name="charisma" dataDxfId="92"/>
    <tableColumn id="10" xr3:uid="{1F87F358-EBD2-4395-86A0-25F025A39F25}" name="comfort" dataDxfId="91"/>
    <tableColumn id="11" xr3:uid="{EE760905-9F18-4C9A-8163-C596161BD235}" name="disc_jockey" dataDxfId="90"/>
    <tableColumn id="12" xr3:uid="{C4E5793E-8CCB-47C0-B943-E627D47F45A1}" name="emergency_cooldown_reduction" dataDxfId="89"/>
    <tableColumn id="13" xr3:uid="{BFCD558B-EB4D-483C-B59C-A2B215F19E11}" name="explosion_resistance" dataDxfId="88"/>
    <tableColumn id="14" xr3:uid="{267D50DE-2A96-45E8-905D-18A321FCB816}" name="feather_falling" dataDxfId="87"/>
    <tableColumn id="15" xr3:uid="{67063B69-79FD-4CB6-9FE4-840A59255D91}" name="fire_resistance" dataDxfId="86"/>
    <tableColumn id="16" xr3:uid="{56F4BBDF-00E5-47BA-ADE7-44E4E51A6B29}" name="firefang" dataDxfId="85"/>
    <tableColumn id="17" xr3:uid="{ADC0DB01-FA24-4C28-BEEE-F9B47C950A2B}" name="frost_fang" dataDxfId="84"/>
    <tableColumn id="18" xr3:uid="{8A678ECD-CD83-41DB-9413-C17A06AC3499}" name="gluttonous" dataDxfId="83"/>
    <tableColumn id="19" xr3:uid="{13CC853F-3C79-40F9-9B73-F5314C775719}" name="health_siphon" dataDxfId="82"/>
    <tableColumn id="20" xr3:uid="{96DDABCA-2A78-462C-8F63-E8F340A7A3D6}" name="herding" dataDxfId="81"/>
    <tableColumn id="21" xr3:uid="{A76F674C-AD16-42AB-BBA8-3F4EB347D567}" name="jump_boost" dataDxfId="80"/>
    <tableColumn id="22" xr3:uid="{1CE7EC9E-16DC-44FB-8080-27B346CC4732}" name="killer" dataDxfId="79"/>
    <tableColumn id="23" xr3:uid="{E6E5297D-7ED6-4EB6-9C65-B3A03BFEA61D}" name="killexploder" dataDxfId="78"/>
    <tableColumn id="24" xr3:uid="{30528A97-293A-4547-BD15-50F4CC1905F4}" name="lifesteal" dataDxfId="77"/>
    <tableColumn id="25" xr3:uid="{6CB901B4-DAC9-439F-9499-F83C0135FD41}" name="lightningfang" dataDxfId="76"/>
    <tableColumn id="26" xr3:uid="{5C694B42-C943-466D-8F2A-251D20FBA2A8}" name="linked_inventory" dataDxfId="75"/>
    <tableColumn id="27" xr3:uid="{C29F77D4-882E-4C04-867E-723FCE5AC232}" name="magnetic" dataDxfId="74"/>
    <tableColumn id="28" xr3:uid="{34F9E0B7-2263-4758-BF9D-8974EF04AC9F}" name="muffled" dataDxfId="73"/>
    <tableColumn id="29" xr3:uid="{4993EC05-D2C7-4D1C-A35E-3A298878D597}" name="negative_effect_transfer" dataDxfId="72"/>
    <tableColumn id="30" xr3:uid="{E827C2FE-A71E-4498-812F-54417D837FA0}" name="ore_scenting" dataDxfId="71"/>
    <tableColumn id="31" xr3:uid="{D58B041B-FC0A-44B3-BCE1-50E23569F798}" name="pacifist" dataDxfId="70"/>
    <tableColumn id="32" xr3:uid="{74421F80-3296-4F10-ABC7-BD32BC00A33A}" name="pierce" dataDxfId="69"/>
    <tableColumn id="33" xr3:uid="{3D0B56EA-B24B-4A8E-91DD-857450D7A8DC}" name="poison_fang" dataDxfId="68"/>
    <tableColumn id="34" xr3:uid="{A4CE7A92-22EB-4A7E-B08E-FF3E7E1BF53A}" name="poison_resistance" dataDxfId="67"/>
    <tableColumn id="35" xr3:uid="{72D41C8B-6DFA-4A23-BA22-334DB7E64EC2}" name="positive_effect_steal" dataDxfId="66"/>
    <tableColumn id="36" xr3:uid="{B6A42AB5-190C-4850-BC77-51E448A66734}" name="regeneration" dataDxfId="65"/>
    <tableColumn id="37" xr3:uid="{B6700A52-F488-4CEA-A785-4206BE94EE2E}" name="rejuvenation" dataDxfId="64"/>
    <tableColumn id="38" xr3:uid="{42306FED-D248-4F71-8152-0D8DB1E96C5F}" name="resistance" dataDxfId="63"/>
    <tableColumn id="39" xr3:uid="{51652A8E-4800-48D4-A8F6-7073B08EA3C9}" name="smite" dataDxfId="62"/>
    <tableColumn id="40" xr3:uid="{F2FEE40E-9C82-4F4A-9198-BC590F04E46B}" name="speed" dataDxfId="61"/>
    <tableColumn id="41" xr3:uid="{B946DE0A-44F4-4FA4-9A35-696A4C9659F5}" name="strength" dataDxfId="60"/>
    <tableColumn id="42" xr3:uid="{CE783073-1BC2-4F09-9CA1-44F2808D9208}" name="sweeping_edge" dataDxfId="59"/>
    <tableColumn id="43" xr3:uid="{18BC9494-2A26-497D-9AB9-6784DF92C589}" name="tethered_teleport" dataDxfId="58"/>
    <tableColumn id="44" xr3:uid="{8534A7C6-3C32-43A5-A312-1B8507E0DE46}" name="totem" dataDxfId="57"/>
    <tableColumn id="45" xr3:uid="{D6A299DB-713D-4163-A844-CB53967D4785}" name="victim_siphon" dataDxfId="56"/>
    <tableColumn id="46" xr3:uid="{BCBDD4DD-181A-42DF-B9A0-580F3C1A4050}" name="void_cloud" dataDxfId="55"/>
    <tableColumn id="47" xr3:uid="{CA293AC2-14C6-407B-B8AB-13205BE22720}" name="wall_climber" dataDxfId="54"/>
    <tableColumn id="48" xr3:uid="{E8C60EF4-8762-469B-89EF-6BC3BE7F59E3}" name="warping_bite" dataDxfId="53"/>
    <tableColumn id="49" xr3:uid="{37D2BA22-74C0-4729-8EC4-53B5B113E520}" name="witherfang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FE81D7-4C60-4C13-B7B2-09AD8D9DA04F}" name="tbl_abilities" displayName="tbl_abilities" ref="A1:AS40" totalsRowShown="0" headerRowDxfId="51">
  <autoFilter ref="A1:AS40" xr:uid="{0EFE81D7-4C60-4C13-B7B2-09AD8D9DA04F}"/>
  <tableColumns count="45">
    <tableColumn id="1" xr3:uid="{8CCECCFD-0F0C-4983-B3E2-4C8221F863DC}" name="class"/>
    <tableColumn id="2" xr3:uid="{507D9E62-2E64-4457-9148-D17BE451F31A}" name="arrow_shot" dataDxfId="50"/>
    <tableColumn id="3" xr3:uid="{EF192C14-EA2D-4DBD-8D3D-EFDCB3ECA6A9}" name="battle_strength" dataDxfId="49"/>
    <tableColumn id="4" xr3:uid="{961AD592-1901-4277-A57B-85F43A79D976}" name="battlefield_medic" dataDxfId="48"/>
    <tableColumn id="5" xr3:uid="{A54735CE-F450-497D-A3E0-1E86792DA41A}" name="berserker" dataDxfId="47"/>
    <tableColumn id="6" xr3:uid="{E98FBE41-6A6C-414E-B474-C8887553039D}" name="blaze_attack" dataDxfId="46"/>
    <tableColumn id="7" xr3:uid="{2C5BD3E1-96D5-4213-9F6F-F65B3AFA6291}" name="bloodlust" dataDxfId="45"/>
    <tableColumn id="8" xr3:uid="{2AE2A8EC-0834-4EB8-90DE-544D3B8D18C0}" name="body_block" dataDxfId="44"/>
    <tableColumn id="9" xr3:uid="{32B52AE3-75EA-457E-8D3E-22D8B90D5CE7}" name="cleanse_touch" dataDxfId="43"/>
    <tableColumn id="10" xr3:uid="{81588712-6CD1-4C02-AD03-036ABD7740BC}" name="creeper_explosion" dataDxfId="42"/>
    <tableColumn id="11" xr3:uid="{57A5E0D0-F8D3-44D6-9A14-B11CDB3C8483}" name="crossbow" dataDxfId="41"/>
    <tableColumn id="12" xr3:uid="{C7A90E8E-27BB-4619-B5BB-161E319B16A5}" name="dash" dataDxfId="40"/>
    <tableColumn id="13" xr3:uid="{DF58E880-2098-4DCD-B7A3-9D0ACA4D1161}" name="defensive_aura" dataDxfId="39"/>
    <tableColumn id="14" xr3:uid="{7878782B-1366-4B45-B6C7-D15AD0CB1EB6}" name="deflection" dataDxfId="38"/>
    <tableColumn id="15" xr3:uid="{E24EAF13-BA9D-4268-AB8C-DA6469708173}" name="defusal" dataDxfId="37"/>
    <tableColumn id="16" xr3:uid="{18F7E541-506D-4C92-987C-0F9B4F73A031}" name="dragon_fireball" dataDxfId="36"/>
    <tableColumn id="17" xr3:uid="{46696891-C965-4DA7-981E-5F51AACCAD52}" name="elder_guardian_beam" dataDxfId="35"/>
    <tableColumn id="18" xr3:uid="{4C6F7B00-4E4A-4843-AA89-FA131ACE5210}" name="emergency_shield" dataDxfId="34"/>
    <tableColumn id="19" xr3:uid="{41621923-06A5-4D8A-AB22-65D774ED9AF5}" name="ender_pearl_jump" dataDxfId="33"/>
    <tableColumn id="20" xr3:uid="{B4E57481-73B1-473E-B26D-988FAEF35EAC}" name="evoker_fangs" dataDxfId="32"/>
    <tableColumn id="21" xr3:uid="{BB1B1825-1234-4549-BF29-64A4DF41987E}" name="fishing" dataDxfId="31"/>
    <tableColumn id="22" xr3:uid="{1D973DE1-9BA5-4751-8E86-A4559F75670D}" name="ghast_fireball" dataDxfId="30"/>
    <tableColumn id="23" xr3:uid="{A87F597E-7C5A-4403-8AE9-61BFE2D9A4B1}" name="guardian_beam" dataDxfId="29"/>
    <tableColumn id="24" xr3:uid="{F4933439-1425-4606-94F7-052827A05DAB}" name="guardian_intercept" dataDxfId="28"/>
    <tableColumn id="25" xr3:uid="{AB90AE87-9AAB-40D2-AF3E-11A92AC25949}" name="guardian_repulse" dataDxfId="27"/>
    <tableColumn id="26" xr3:uid="{5956629D-F26F-480D-A1C8-A7D00AEA1821}" name="healing_aura" dataDxfId="26"/>
    <tableColumn id="27" xr3:uid="{33D04FC0-1D0B-4233-B254-C27224ACC433}" name="healing_bottle" dataDxfId="25"/>
    <tableColumn id="28" xr3:uid="{C7C20486-5D60-4C7F-812F-0327231E7FAF}" name="immunity_frame" dataDxfId="24"/>
    <tableColumn id="29" xr3:uid="{1A4F7243-7466-4529-A2E8-3323CA0A24C9}" name="last_stand_fury" dataDxfId="23"/>
    <tableColumn id="30" xr3:uid="{59DD945E-B6DD-4B11-8BAA-EAFB3AED3F3B}" name="life_gift" dataDxfId="22"/>
    <tableColumn id="31" xr3:uid="{6F20A690-FE8C-4296-BF81-EA7864A41AA2}" name="lightning_strike" dataDxfId="21"/>
    <tableColumn id="32" xr3:uid="{FA1B062D-6B4F-415C-A800-40FADD74215B}" name="llama_spit" dataDxfId="20"/>
    <tableColumn id="33" xr3:uid="{3D036685-0B93-4D54-8567-52C8890C114E}" name="pack_guard" dataDxfId="19"/>
    <tableColumn id="34" xr3:uid="{6FC99AF0-848E-4E96-BF77-D8F1197EA604}" name="psychic_wall" dataDxfId="18"/>
    <tableColumn id="35" xr3:uid="{55AEF9FD-A26A-43AD-B568-F4CD0570E73A}" name="retaliation_slow" dataDxfId="17"/>
    <tableColumn id="36" xr3:uid="{51BA51EF-7195-43E9-8A6E-8D1BF29AB2F7}" name="revitalizing_presence" dataDxfId="16"/>
    <tableColumn id="37" xr3:uid="{DEF65011-003F-4A6A-A93D-C6462AFA5857}" name="shadow_hands" dataDxfId="15"/>
    <tableColumn id="38" xr3:uid="{E5AD80A8-2E4E-43BD-AB10-96102E6265D2}" name="shield_block" dataDxfId="14"/>
    <tableColumn id="39" xr3:uid="{B3F6195F-059D-4D8B-81F4-1AE09CEC4DF9}" name="shulker_bullet" dataDxfId="13"/>
    <tableColumn id="40" xr3:uid="{B4C5E40A-AACF-4301-B767-14ECE7EAA429}" name="sky_launch" dataDxfId="12"/>
    <tableColumn id="41" xr3:uid="{A3EF3DF9-265E-4DDB-800C-9F958AB55959}" name="snowball_shot" dataDxfId="11"/>
    <tableColumn id="42" xr3:uid="{80B29A62-BD39-4D90-AC2F-A455E898EAD1}" name="triage_pulse" dataDxfId="10"/>
    <tableColumn id="43" xr3:uid="{B213F951-0C53-4A5D-BDEA-B37254A20779}" name="trident" dataDxfId="9"/>
    <tableColumn id="44" xr3:uid="{9B027B1B-D807-4CEC-9EC6-B6A3B076E93B}" name="warden_scream" dataDxfId="8"/>
    <tableColumn id="45" xr3:uid="{00132AB1-A7D0-449F-BE4D-6A2D7CF6B7A8}" name="wither_skull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B0085B-DD56-4FAE-89DA-ED9D7FCF5B45}" name="tbl_class_risk" displayName="tbl_class_risk" ref="A1:E40" totalsRowShown="0" headerRowDxfId="6">
  <autoFilter ref="A1:E40" xr:uid="{26B0085B-DD56-4FAE-89DA-ED9D7FCF5B45}"/>
  <tableColumns count="5">
    <tableColumn id="1" xr3:uid="{06F6531C-4509-469C-887C-F8C0C165CA4F}" name="class"/>
    <tableColumn id="2" xr3:uid="{D2DD522D-15E3-4924-8C6C-7A73F0BCCE4F}" name="ability_nonpreferred_100" dataDxfId="5"/>
    <tableColumn id="3" xr3:uid="{CB5989E8-AE34-4AFB-B6C6-6F216321B677}" name="ability_nonpreferred_200" dataDxfId="4"/>
    <tableColumn id="4" xr3:uid="{1F21D3A4-CBC0-4A71-8A89-50CF9A7BDE03}" name="attribute_nonpreferred_100" dataDxfId="3"/>
    <tableColumn id="5" xr3:uid="{EC25E9E4-5E64-4C1D-A51F-F23FB5C344E0}" name="attribute_nonpreferred_200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C3F5E6-C04D-4D0E-9C59-C91EA65F1B62}" name="tbl_meta" displayName="tbl_meta" ref="A1:B13" totalsRowShown="0" headerRowDxfId="1">
  <autoFilter ref="A1:B13" xr:uid="{7BC3F5E6-C04D-4D0E-9C59-C91EA65F1B62}"/>
  <tableColumns count="2">
    <tableColumn id="1" xr3:uid="{15703514-AC1C-4DCD-8FC0-7E5B4BDC0348}" name="key"/>
    <tableColumn id="2" xr3:uid="{6F58FC5E-C41E-42BF-BB71-3F92C4CCF51F}" name="value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95653-0290-4112-A0A9-CDE25CFEF0FF}" name="tbl_categories" displayName="tbl_categories" ref="A1:G40" totalsRowShown="0" headerRowDxfId="116">
  <autoFilter ref="A1:G40" xr:uid="{D6895653-0290-4112-A0A9-CDE25CFEF0FF}"/>
  <tableColumns count="7">
    <tableColumn id="1" xr3:uid="{F07B1C5D-CE8D-4BCF-8F89-BAA7CA4C04F8}" name="class" dataDxfId="113"/>
    <tableColumn id="2" xr3:uid="{91E27648-0D3F-401F-8D24-7A4DE2FA0966}" name="base" dataDxfId="112"/>
    <tableColumn id="3" xr3:uid="{B2170542-6C97-43EE-B5A5-6FABD9BE56BF}" name="attribute" dataDxfId="111"/>
    <tableColumn id="4" xr3:uid="{57B77CE1-0D29-4DCA-98AD-3D862D56E8F3}" name="ability" dataDxfId="109"/>
    <tableColumn id="5" xr3:uid="{B5C16345-BC33-41CA-A47A-C6EDB9D642AC}" name="preferredAttributeWeightMultiplier" dataDxfId="110"/>
    <tableColumn id="6" xr3:uid="{1937E3D6-D61D-439C-85C4-8F22474E1F7B}" name="preferredAbilityWeightMultiplier" dataDxfId="115"/>
    <tableColumn id="7" xr3:uid="{44A7C3D3-8068-4EB8-9012-398C46F425D7}" name="autoPreferredWeightBalance" dataDxfId="1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04EC-4CC5-4EA3-88A3-07FBAA5B6C7B}">
  <sheetPr codeName="Tabelle5"/>
  <dimension ref="A1:Q120"/>
  <sheetViews>
    <sheetView tabSelected="1" workbookViewId="0"/>
  </sheetViews>
  <sheetFormatPr baseColWidth="10" defaultRowHeight="14.5" x14ac:dyDescent="0.35"/>
  <cols>
    <col min="1" max="1" width="18.6328125" customWidth="1"/>
    <col min="2" max="2" width="16.6328125" customWidth="1"/>
    <col min="4" max="4" width="24.6328125" customWidth="1"/>
    <col min="5" max="5" width="12.6328125" customWidth="1"/>
    <col min="7" max="7" width="28.6328125" customWidth="1"/>
    <col min="8" max="8" width="12.6328125" customWidth="1"/>
    <col min="9" max="9" width="11.6328125" customWidth="1"/>
    <col min="10" max="10" width="4.6328125" customWidth="1"/>
    <col min="11" max="11" width="28.6328125" customWidth="1"/>
    <col min="12" max="12" width="12.6328125" customWidth="1"/>
    <col min="13" max="13" width="11.6328125" customWidth="1"/>
    <col min="14" max="14" width="4.6328125" customWidth="1"/>
    <col min="15" max="15" width="34.6328125" customWidth="1"/>
    <col min="16" max="16" width="14.6328125" customWidth="1"/>
    <col min="17" max="17" width="0" hidden="1" customWidth="1"/>
  </cols>
  <sheetData>
    <row r="1" spans="1:17" ht="21" x14ac:dyDescent="0.5">
      <c r="A1" s="9" t="s">
        <v>160</v>
      </c>
      <c r="Q1" t="s">
        <v>162</v>
      </c>
    </row>
    <row r="2" spans="1:17" x14ac:dyDescent="0.35">
      <c r="Q2" t="s">
        <v>163</v>
      </c>
    </row>
    <row r="3" spans="1:17" x14ac:dyDescent="0.35">
      <c r="A3" s="11" t="s">
        <v>161</v>
      </c>
      <c r="B3" s="10" t="s">
        <v>40</v>
      </c>
      <c r="G3" s="1" t="s">
        <v>164</v>
      </c>
      <c r="H3" t="s">
        <v>162</v>
      </c>
      <c r="K3" s="1" t="s">
        <v>165</v>
      </c>
      <c r="L3" t="s">
        <v>162</v>
      </c>
    </row>
    <row r="5" spans="1:17" x14ac:dyDescent="0.35">
      <c r="A5" s="12" t="s">
        <v>166</v>
      </c>
      <c r="B5" s="13"/>
      <c r="D5" s="12" t="s">
        <v>170</v>
      </c>
      <c r="E5" s="12" t="s">
        <v>171</v>
      </c>
      <c r="G5" s="12" t="s">
        <v>172</v>
      </c>
      <c r="H5" s="12" t="s">
        <v>171</v>
      </c>
      <c r="I5" s="12" t="s">
        <v>173</v>
      </c>
      <c r="K5" s="12" t="s">
        <v>174</v>
      </c>
      <c r="L5" s="12" t="s">
        <v>171</v>
      </c>
      <c r="M5" s="12" t="s">
        <v>173</v>
      </c>
      <c r="O5" s="12" t="s">
        <v>175</v>
      </c>
      <c r="P5" s="13"/>
    </row>
    <row r="6" spans="1:17" x14ac:dyDescent="0.35">
      <c r="A6" s="13" t="s">
        <v>1</v>
      </c>
      <c r="B6" s="14">
        <v>90</v>
      </c>
      <c r="D6" s="13" t="str">
        <f>INDEX(base_stats!$1:$1,2)</f>
        <v>hp</v>
      </c>
      <c r="E6" s="15">
        <f>INDEX(base_stats!$A$2:$H$40,MATCH($B$3,base_stats!$A$2:$A$40,0),2)</f>
        <v>30</v>
      </c>
      <c r="G6" s="13" t="str">
        <f>INDEX(attributes!$1:$1,2)</f>
        <v>ability_power</v>
      </c>
      <c r="H6" s="15">
        <f>INDEX(attributes!$A$2:$AW$40,MATCH($B$3,attributes!$A$2:$A$40,0),2)</f>
        <v>10</v>
      </c>
      <c r="I6" s="17">
        <f>IF($H6="","",IFERROR(FirstRollShare($H6,$H$6:$H$53,$B$9,$B$11,$B$7,$B$6:$B$8),0))</f>
        <v>2.9096167210629359E-4</v>
      </c>
      <c r="K6" s="13" t="str">
        <f>INDEX(abilities!$1:$1,2)</f>
        <v>arrow_shot</v>
      </c>
      <c r="L6" s="15">
        <f>INDEX(abilities!$A$2:$AS$40,MATCH($B$3,abilities!$A$2:$A$40,0),2)</f>
        <v>10</v>
      </c>
      <c r="M6" s="17">
        <f>IF($L6="","",IFERROR(FirstRollShare($L6,$L$6:$L$49,$B$10,$B$11,$B$8,$B$6:$B$8),0))</f>
        <v>3.5268081467429516E-4</v>
      </c>
      <c r="O6" s="13" t="s">
        <v>176</v>
      </c>
      <c r="P6" s="16">
        <f>IFERROR(VLOOKUP("preferredAttributeWeightMultiplier",meta!$A:$B,2,FALSE),"")</f>
        <v>30</v>
      </c>
    </row>
    <row r="7" spans="1:17" x14ac:dyDescent="0.35">
      <c r="A7" s="13" t="s">
        <v>2</v>
      </c>
      <c r="B7" s="14">
        <v>10</v>
      </c>
      <c r="D7" s="13" t="str">
        <f>INDEX(base_stats!$1:$1,3)</f>
        <v>damage</v>
      </c>
      <c r="E7" s="15">
        <f>INDEX(base_stats!$A$2:$H$40,MATCH($B$3,base_stats!$A$2:$A$40,0),3)</f>
        <v>10</v>
      </c>
      <c r="G7" s="13" t="str">
        <f>INDEX(attributes!$1:$1,3)</f>
        <v>amphibious</v>
      </c>
      <c r="H7" s="15">
        <f>INDEX(attributes!$A$2:$AW$40,MATCH($B$3,attributes!$A$2:$A$40,0),3)</f>
        <v>10</v>
      </c>
      <c r="I7" s="17">
        <f>IF($H7="","",IFERROR(FirstRollShare($H7,$H$6:$H$53,$B$9,$B$11,$B$7,$B$6:$B$8),0))</f>
        <v>2.9096167210629359E-4</v>
      </c>
      <c r="K7" s="13" t="str">
        <f>INDEX(abilities!$1:$1,3)</f>
        <v>battle_strength</v>
      </c>
      <c r="L7" s="15">
        <f>INDEX(abilities!$A$2:$AS$40,MATCH($B$3,abilities!$A$2:$A$40,0),3)</f>
        <v>10</v>
      </c>
      <c r="M7" s="17">
        <f>IF($L7="","",IFERROR(FirstRollShare($L7,$L$6:$L$49,$B$10,$B$11,$B$8,$B$6:$B$8),0))</f>
        <v>3.5268081467429516E-4</v>
      </c>
      <c r="O7" s="13" t="s">
        <v>177</v>
      </c>
      <c r="P7" s="16">
        <f>IFERROR(VLOOKUP("preferredAbilityWeightMultiplier",meta!$A:$B,2,FALSE),"")</f>
        <v>9</v>
      </c>
    </row>
    <row r="8" spans="1:17" x14ac:dyDescent="0.35">
      <c r="A8" s="13" t="s">
        <v>3</v>
      </c>
      <c r="B8" s="14">
        <v>10</v>
      </c>
      <c r="D8" s="13" t="str">
        <f>INDEX(base_stats!$1:$1,4)</f>
        <v>speed</v>
      </c>
      <c r="E8" s="15">
        <f>INDEX(base_stats!$A$2:$H$40,MATCH($B$3,base_stats!$A$2:$A$40,0),4)</f>
        <v>10</v>
      </c>
      <c r="G8" s="13" t="str">
        <f>INDEX(attributes!$1:$1,4)</f>
        <v>bane_of_arthropods</v>
      </c>
      <c r="H8" s="15">
        <f>INDEX(attributes!$A$2:$AW$40,MATCH($B$3,attributes!$A$2:$A$40,0),4)</f>
        <v>10</v>
      </c>
      <c r="I8" s="17">
        <f>IF($H8="","",IFERROR(FirstRollShare($H8,$H$6:$H$53,$B$9,$B$11,$B$7,$B$6:$B$8),0))</f>
        <v>2.9096167210629359E-4</v>
      </c>
      <c r="K8" s="13" t="str">
        <f>INDEX(abilities!$1:$1,4)</f>
        <v>battlefield_medic</v>
      </c>
      <c r="L8" s="15">
        <f>INDEX(abilities!$A$2:$AS$40,MATCH($B$3,abilities!$A$2:$A$40,0),4)</f>
        <v>10</v>
      </c>
      <c r="M8" s="17">
        <f>IF($L8="","",IFERROR(FirstRollShare($L8,$L$6:$L$49,$B$10,$B$11,$B$8,$B$6:$B$8),0))</f>
        <v>3.5268081467429516E-4</v>
      </c>
      <c r="O8" s="13"/>
      <c r="P8" s="13"/>
    </row>
    <row r="9" spans="1:17" x14ac:dyDescent="0.35">
      <c r="A9" s="13" t="s">
        <v>167</v>
      </c>
      <c r="B9" s="16">
        <v>0</v>
      </c>
      <c r="D9" s="13" t="str">
        <f>INDEX(base_stats!$1:$1,5)</f>
        <v>armor</v>
      </c>
      <c r="E9" s="15">
        <f>INDEX(base_stats!$A$2:$H$40,MATCH($B$3,base_stats!$A$2:$A$40,0),5)</f>
        <v>30</v>
      </c>
      <c r="G9" s="13" t="str">
        <f>INDEX(attributes!$1:$1,5)</f>
        <v>blazing_protection</v>
      </c>
      <c r="H9" s="15">
        <f>INDEX(attributes!$A$2:$AW$40,MATCH($B$3,attributes!$A$2:$A$40,0),5)</f>
        <v>40</v>
      </c>
      <c r="I9" s="17">
        <f>IF($H9="","",IFERROR(FirstRollShare($H9,$H$6:$H$53,$B$9,$B$11,$B$7,$B$6:$B$8),0))</f>
        <v>0.13492990213184278</v>
      </c>
      <c r="K9" s="13" t="str">
        <f>INDEX(abilities!$1:$1,5)</f>
        <v>berserker</v>
      </c>
      <c r="L9" s="15">
        <f>INDEX(abilities!$A$2:$AS$40,MATCH($B$3,abilities!$A$2:$A$40,0),5)</f>
        <v>10</v>
      </c>
      <c r="M9" s="17">
        <f>IF($L9="","",IFERROR(FirstRollShare($L9,$L$6:$L$49,$B$10,$B$11,$B$8,$B$6:$B$8),0))</f>
        <v>3.5268081467429516E-4</v>
      </c>
      <c r="O9" s="13"/>
      <c r="P9" s="13"/>
    </row>
    <row r="10" spans="1:17" x14ac:dyDescent="0.35">
      <c r="A10" s="13" t="s">
        <v>168</v>
      </c>
      <c r="B10" s="16">
        <v>0</v>
      </c>
      <c r="D10" s="13" t="str">
        <f>INDEX(base_stats!$1:$1,6)</f>
        <v>armor_toughness</v>
      </c>
      <c r="E10" s="15">
        <f>INDEX(base_stats!$A$2:$H$40,MATCH($B$3,base_stats!$A$2:$A$40,0),6)</f>
        <v>30</v>
      </c>
      <c r="G10" s="13" t="str">
        <f>INDEX(attributes!$1:$1,6)</f>
        <v>bosskiller</v>
      </c>
      <c r="H10" s="15">
        <f>INDEX(attributes!$A$2:$AW$40,MATCH($B$3,attributes!$A$2:$A$40,0),6)</f>
        <v>10</v>
      </c>
      <c r="I10" s="17">
        <f>IF($H10="","",IFERROR(FirstRollShare($H10,$H$6:$H$53,$B$9,$B$11,$B$7,$B$6:$B$8),0))</f>
        <v>2.9096167210629359E-4</v>
      </c>
      <c r="K10" s="13" t="str">
        <f>INDEX(abilities!$1:$1,6)</f>
        <v>blaze_attack</v>
      </c>
      <c r="L10" s="15">
        <f>INDEX(abilities!$A$2:$AS$40,MATCH($B$3,abilities!$A$2:$A$40,0),6)</f>
        <v>10</v>
      </c>
      <c r="M10" s="17">
        <f>IF($L10="","",IFERROR(FirstRollShare($L10,$L$6:$L$49,$B$10,$B$11,$B$8,$B$6:$B$8),0))</f>
        <v>3.5268081467429516E-4</v>
      </c>
      <c r="O10" s="12" t="s">
        <v>178</v>
      </c>
      <c r="P10" s="13"/>
    </row>
    <row r="11" spans="1:17" x14ac:dyDescent="0.35">
      <c r="A11" s="13" t="s">
        <v>169</v>
      </c>
      <c r="B11" s="13" t="b">
        <v>1</v>
      </c>
      <c r="D11" s="13" t="str">
        <f>INDEX(base_stats!$1:$1,7)</f>
        <v>knockback</v>
      </c>
      <c r="E11" s="15">
        <f>INDEX(base_stats!$A$2:$H$40,MATCH($B$3,base_stats!$A$2:$A$40,0),7)</f>
        <v>10</v>
      </c>
      <c r="G11" s="13" t="str">
        <f>INDEX(attributes!$1:$1,7)</f>
        <v>bubbling</v>
      </c>
      <c r="H11" s="15">
        <f>INDEX(attributes!$A$2:$AW$40,MATCH($B$3,attributes!$A$2:$A$40,0),7)</f>
        <v>10</v>
      </c>
      <c r="I11" s="17">
        <f>IF($H11="","",IFERROR(FirstRollShare($H11,$H$6:$H$53,$B$9,$B$11,$B$7,$B$6:$B$8),0))</f>
        <v>2.9096167210629359E-4</v>
      </c>
      <c r="K11" s="13" t="str">
        <f>INDEX(abilities!$1:$1,7)</f>
        <v>bloodlust</v>
      </c>
      <c r="L11" s="15">
        <f>INDEX(abilities!$A$2:$AS$40,MATCH($B$3,abilities!$A$2:$A$40,0),7)</f>
        <v>10</v>
      </c>
      <c r="M11" s="17">
        <f>IF($L11="","",IFERROR(FirstRollShare($L11,$L$6:$L$49,$B$10,$B$11,$B$8,$B$6:$B$8),0))</f>
        <v>3.5268081467429516E-4</v>
      </c>
      <c r="O11" s="13" t="s">
        <v>179</v>
      </c>
      <c r="P11" s="17">
        <f>IFERROR(RoughRisk($B$8,$B$6:$B$8,$L$6:$L$49,$B$10,$B$11,99),0)</f>
        <v>9.9496883970251693E-2</v>
      </c>
    </row>
    <row r="12" spans="1:17" x14ac:dyDescent="0.35">
      <c r="D12" s="13" t="str">
        <f>INDEX(base_stats!$1:$1,8)</f>
        <v>knockback_resist</v>
      </c>
      <c r="E12" s="15">
        <f>INDEX(base_stats!$A$2:$H$40,MATCH($B$3,base_stats!$A$2:$A$40,0),8)</f>
        <v>10</v>
      </c>
      <c r="G12" s="13" t="str">
        <f>INDEX(attributes!$1:$1,8)</f>
        <v>chain_lightning</v>
      </c>
      <c r="H12" s="15">
        <f>INDEX(attributes!$A$2:$AW$40,MATCH($B$3,attributes!$A$2:$A$40,0),8)</f>
        <v>10</v>
      </c>
      <c r="I12" s="17">
        <f>IF($H12="","",IFERROR(FirstRollShare($H12,$H$6:$H$53,$B$9,$B$11,$B$7,$B$6:$B$8),0))</f>
        <v>2.9096167210629359E-4</v>
      </c>
      <c r="K12" s="13" t="str">
        <f>INDEX(abilities!$1:$1,8)</f>
        <v>body_block</v>
      </c>
      <c r="L12" s="15">
        <f>INDEX(abilities!$A$2:$AS$40,MATCH($B$3,abilities!$A$2:$A$40,0),8)</f>
        <v>40</v>
      </c>
      <c r="M12" s="17">
        <f>IF($L12="","",IFERROR(FirstRollShare($L12,$L$6:$L$49,$B$10,$B$11,$B$8,$B$6:$B$8),0))</f>
        <v>8.2708078084999845E-2</v>
      </c>
      <c r="O12" s="13" t="s">
        <v>180</v>
      </c>
      <c r="P12" s="17">
        <f>IFERROR(RoughRisk($B$8,$B$6:$B$8,$L$6:$L$49,$B$10,$B$11,199),0)</f>
        <v>0.18995211084079477</v>
      </c>
    </row>
    <row r="13" spans="1:17" x14ac:dyDescent="0.35">
      <c r="D13" s="13"/>
      <c r="E13" s="15"/>
      <c r="G13" s="13" t="str">
        <f>INDEX(attributes!$1:$1,9)</f>
        <v>charisma</v>
      </c>
      <c r="H13" s="15">
        <f>INDEX(attributes!$A$2:$AW$40,MATCH($B$3,attributes!$A$2:$A$40,0),9)</f>
        <v>10</v>
      </c>
      <c r="I13" s="17">
        <f>IF($H13="","",IFERROR(FirstRollShare($H13,$H$6:$H$53,$B$9,$B$11,$B$7,$B$6:$B$8),0))</f>
        <v>2.9096167210629359E-4</v>
      </c>
      <c r="K13" s="13" t="str">
        <f>INDEX(abilities!$1:$1,9)</f>
        <v>cleanse_touch</v>
      </c>
      <c r="L13" s="15">
        <f>INDEX(abilities!$A$2:$AS$40,MATCH($B$3,abilities!$A$2:$A$40,0),9)</f>
        <v>10</v>
      </c>
      <c r="M13" s="17">
        <f>IF($L13="","",IFERROR(FirstRollShare($L13,$L$6:$L$49,$B$10,$B$11,$B$8,$B$6:$B$8),0))</f>
        <v>3.5268081467429516E-4</v>
      </c>
      <c r="O13" s="13" t="s">
        <v>181</v>
      </c>
      <c r="P13" s="17">
        <f>IFERROR(RoughRisk($B$7,$B$6:$B$8,$H$6:$H$53,$B$9,$B$11,99),0)</f>
        <v>9.9496883970251693E-2</v>
      </c>
    </row>
    <row r="14" spans="1:17" x14ac:dyDescent="0.35">
      <c r="D14" s="13"/>
      <c r="E14" s="15"/>
      <c r="G14" s="13" t="str">
        <f>INDEX(attributes!$1:$1,10)</f>
        <v>comfort</v>
      </c>
      <c r="H14" s="15">
        <f>INDEX(attributes!$A$2:$AW$40,MATCH($B$3,attributes!$A$2:$A$40,0),10)</f>
        <v>10</v>
      </c>
      <c r="I14" s="17">
        <f>IF($H14="","",IFERROR(FirstRollShare($H14,$H$6:$H$53,$B$9,$B$11,$B$7,$B$6:$B$8),0))</f>
        <v>2.9096167210629359E-4</v>
      </c>
      <c r="K14" s="13" t="str">
        <f>INDEX(abilities!$1:$1,10)</f>
        <v>creeper_explosion</v>
      </c>
      <c r="L14" s="15">
        <f>INDEX(abilities!$A$2:$AS$40,MATCH($B$3,abilities!$A$2:$A$40,0),10)</f>
        <v>10</v>
      </c>
      <c r="M14" s="17">
        <f>IF($L14="","",IFERROR(FirstRollShare($L14,$L$6:$L$49,$B$10,$B$11,$B$8,$B$6:$B$8),0))</f>
        <v>3.5268081467429516E-4</v>
      </c>
      <c r="O14" s="13" t="s">
        <v>182</v>
      </c>
      <c r="P14" s="17">
        <f>IFERROR(RoughRisk($B$7,$B$6:$B$8,$H$6:$H$53,$B$9,$B$11,199),0)</f>
        <v>0.18995211084079477</v>
      </c>
    </row>
    <row r="15" spans="1:17" x14ac:dyDescent="0.35">
      <c r="D15" s="13"/>
      <c r="E15" s="15"/>
      <c r="G15" s="13" t="str">
        <f>INDEX(attributes!$1:$1,11)</f>
        <v>disc_jockey</v>
      </c>
      <c r="H15" s="15">
        <f>INDEX(attributes!$A$2:$AW$40,MATCH($B$3,attributes!$A$2:$A$40,0),11)</f>
        <v>10</v>
      </c>
      <c r="I15" s="17">
        <f>IF($H15="","",IFERROR(FirstRollShare($H15,$H$6:$H$53,$B$9,$B$11,$B$7,$B$6:$B$8),0))</f>
        <v>2.9096167210629359E-4</v>
      </c>
      <c r="K15" s="13" t="str">
        <f>INDEX(abilities!$1:$1,11)</f>
        <v>crossbow</v>
      </c>
      <c r="L15" s="15">
        <f>INDEX(abilities!$A$2:$AS$40,MATCH($B$3,abilities!$A$2:$A$40,0),11)</f>
        <v>10</v>
      </c>
      <c r="M15" s="17">
        <f>IF($L15="","",IFERROR(FirstRollShare($L15,$L$6:$L$49,$B$10,$B$11,$B$8,$B$6:$B$8),0))</f>
        <v>3.5268081467429516E-4</v>
      </c>
    </row>
    <row r="16" spans="1:17" x14ac:dyDescent="0.35">
      <c r="D16" s="13"/>
      <c r="E16" s="15"/>
      <c r="G16" s="13" t="str">
        <f>INDEX(attributes!$1:$1,12)</f>
        <v>emergency_cooldown_reduction</v>
      </c>
      <c r="H16" s="15">
        <f>INDEX(attributes!$A$2:$AW$40,MATCH($B$3,attributes!$A$2:$A$40,0),12)</f>
        <v>10</v>
      </c>
      <c r="I16" s="17">
        <f>IF($H16="","",IFERROR(FirstRollShare($H16,$H$6:$H$53,$B$9,$B$11,$B$7,$B$6:$B$8),0))</f>
        <v>2.9096167210629359E-4</v>
      </c>
      <c r="K16" s="13" t="str">
        <f>INDEX(abilities!$1:$1,12)</f>
        <v>dash</v>
      </c>
      <c r="L16" s="15">
        <f>INDEX(abilities!$A$2:$AS$40,MATCH($B$3,abilities!$A$2:$A$40,0),12)</f>
        <v>10</v>
      </c>
      <c r="M16" s="17">
        <f>IF($L16="","",IFERROR(FirstRollShare($L16,$L$6:$L$49,$B$10,$B$11,$B$8,$B$6:$B$8),0))</f>
        <v>3.5268081467429516E-4</v>
      </c>
    </row>
    <row r="17" spans="4:13" x14ac:dyDescent="0.35">
      <c r="D17" s="13"/>
      <c r="E17" s="15"/>
      <c r="G17" s="13" t="str">
        <f>INDEX(attributes!$1:$1,13)</f>
        <v>explosion_resistance</v>
      </c>
      <c r="H17" s="15">
        <f>INDEX(attributes!$A$2:$AW$40,MATCH($B$3,attributes!$A$2:$A$40,0),13)</f>
        <v>10</v>
      </c>
      <c r="I17" s="17">
        <f>IF($H17="","",IFERROR(FirstRollShare($H17,$H$6:$H$53,$B$9,$B$11,$B$7,$B$6:$B$8),0))</f>
        <v>2.9096167210629359E-4</v>
      </c>
      <c r="K17" s="13" t="str">
        <f>INDEX(abilities!$1:$1,13)</f>
        <v>defensive_aura</v>
      </c>
      <c r="L17" s="15">
        <f>INDEX(abilities!$A$2:$AS$40,MATCH($B$3,abilities!$A$2:$A$40,0),13)</f>
        <v>48</v>
      </c>
      <c r="M17" s="17">
        <f>IF($L17="","",IFERROR(FirstRollShare($L17,$L$6:$L$49,$B$10,$B$11,$B$8,$B$6:$B$8),0))</f>
        <v>9.9249693701999819E-2</v>
      </c>
    </row>
    <row r="18" spans="4:13" x14ac:dyDescent="0.35">
      <c r="D18" s="13"/>
      <c r="E18" s="15"/>
      <c r="G18" s="13" t="str">
        <f>INDEX(attributes!$1:$1,14)</f>
        <v>feather_falling</v>
      </c>
      <c r="H18" s="15">
        <f>INDEX(attributes!$A$2:$AW$40,MATCH($B$3,attributes!$A$2:$A$40,0),14)</f>
        <v>10</v>
      </c>
      <c r="I18" s="17">
        <f>IF($H18="","",IFERROR(FirstRollShare($H18,$H$6:$H$53,$B$9,$B$11,$B$7,$B$6:$B$8),0))</f>
        <v>2.9096167210629359E-4</v>
      </c>
      <c r="K18" s="13" t="str">
        <f>INDEX(abilities!$1:$1,14)</f>
        <v>deflection</v>
      </c>
      <c r="L18" s="15">
        <f>INDEX(abilities!$A$2:$AS$40,MATCH($B$3,abilities!$A$2:$A$40,0),14)</f>
        <v>40</v>
      </c>
      <c r="M18" s="17">
        <f>IF($L18="","",IFERROR(FirstRollShare($L18,$L$6:$L$49,$B$10,$B$11,$B$8,$B$6:$B$8),0))</f>
        <v>8.2708078084999845E-2</v>
      </c>
    </row>
    <row r="19" spans="4:13" x14ac:dyDescent="0.35">
      <c r="D19" s="13"/>
      <c r="E19" s="15"/>
      <c r="G19" s="13" t="str">
        <f>INDEX(attributes!$1:$1,15)</f>
        <v>fire_resistance</v>
      </c>
      <c r="H19" s="15">
        <f>INDEX(attributes!$A$2:$AW$40,MATCH($B$3,attributes!$A$2:$A$40,0),15)</f>
        <v>38</v>
      </c>
      <c r="I19" s="17">
        <f>IF($H19="","",IFERROR(FirstRollShare($H19,$H$6:$H$53,$B$9,$B$11,$B$7,$B$6:$B$8),0))</f>
        <v>0.12818340702525063</v>
      </c>
      <c r="K19" s="13" t="str">
        <f>INDEX(abilities!$1:$1,15)</f>
        <v>defusal</v>
      </c>
      <c r="L19" s="15">
        <f>INDEX(abilities!$A$2:$AS$40,MATCH($B$3,abilities!$A$2:$A$40,0),15)</f>
        <v>70</v>
      </c>
      <c r="M19" s="17">
        <f>IF($L19="","",IFERROR(FirstRollShare($L19,$L$6:$L$49,$B$10,$B$11,$B$8,$B$6:$B$8),0))</f>
        <v>0.14473913664874974</v>
      </c>
    </row>
    <row r="20" spans="4:13" x14ac:dyDescent="0.35">
      <c r="D20" s="13"/>
      <c r="E20" s="15"/>
      <c r="G20" s="13" t="str">
        <f>INDEX(attributes!$1:$1,16)</f>
        <v>firefang</v>
      </c>
      <c r="H20" s="15">
        <f>INDEX(attributes!$A$2:$AW$40,MATCH($B$3,attributes!$A$2:$A$40,0),16)</f>
        <v>10</v>
      </c>
      <c r="I20" s="17">
        <f>IF($H20="","",IFERROR(FirstRollShare($H20,$H$6:$H$53,$B$9,$B$11,$B$7,$B$6:$B$8),0))</f>
        <v>2.9096167210629359E-4</v>
      </c>
      <c r="K20" s="13" t="str">
        <f>INDEX(abilities!$1:$1,16)</f>
        <v>dragon_fireball</v>
      </c>
      <c r="L20" s="15">
        <f>INDEX(abilities!$A$2:$AS$40,MATCH($B$3,abilities!$A$2:$A$40,0),16)</f>
        <v>10</v>
      </c>
      <c r="M20" s="17">
        <f>IF($L20="","",IFERROR(FirstRollShare($L20,$L$6:$L$49,$B$10,$B$11,$B$8,$B$6:$B$8),0))</f>
        <v>3.5268081467429516E-4</v>
      </c>
    </row>
    <row r="21" spans="4:13" x14ac:dyDescent="0.35">
      <c r="D21" s="13"/>
      <c r="E21" s="15"/>
      <c r="G21" s="13" t="str">
        <f>INDEX(attributes!$1:$1,17)</f>
        <v>frost_fang</v>
      </c>
      <c r="H21" s="15">
        <f>INDEX(attributes!$A$2:$AW$40,MATCH($B$3,attributes!$A$2:$A$40,0),17)</f>
        <v>10</v>
      </c>
      <c r="I21" s="17">
        <f>IF($H21="","",IFERROR(FirstRollShare($H21,$H$6:$H$53,$B$9,$B$11,$B$7,$B$6:$B$8),0))</f>
        <v>2.9096167210629359E-4</v>
      </c>
      <c r="K21" s="13" t="str">
        <f>INDEX(abilities!$1:$1,17)</f>
        <v>elder_guardian_beam</v>
      </c>
      <c r="L21" s="15">
        <f>INDEX(abilities!$A$2:$AS$40,MATCH($B$3,abilities!$A$2:$A$40,0),17)</f>
        <v>10</v>
      </c>
      <c r="M21" s="17">
        <f>IF($L21="","",IFERROR(FirstRollShare($L21,$L$6:$L$49,$B$10,$B$11,$B$8,$B$6:$B$8),0))</f>
        <v>3.5268081467429516E-4</v>
      </c>
    </row>
    <row r="22" spans="4:13" x14ac:dyDescent="0.35">
      <c r="D22" s="13"/>
      <c r="E22" s="15"/>
      <c r="G22" s="13" t="str">
        <f>INDEX(attributes!$1:$1,18)</f>
        <v>gluttonous</v>
      </c>
      <c r="H22" s="15">
        <f>INDEX(attributes!$A$2:$AW$40,MATCH($B$3,attributes!$A$2:$A$40,0),18)</f>
        <v>10</v>
      </c>
      <c r="I22" s="17">
        <f>IF($H22="","",IFERROR(FirstRollShare($H22,$H$6:$H$53,$B$9,$B$11,$B$7,$B$6:$B$8),0))</f>
        <v>2.9096167210629359E-4</v>
      </c>
      <c r="K22" s="13" t="str">
        <f>INDEX(abilities!$1:$1,18)</f>
        <v>emergency_shield</v>
      </c>
      <c r="L22" s="15">
        <f>INDEX(abilities!$A$2:$AS$40,MATCH($B$3,abilities!$A$2:$A$40,0),18)</f>
        <v>40</v>
      </c>
      <c r="M22" s="17">
        <f>IF($L22="","",IFERROR(FirstRollShare($L22,$L$6:$L$49,$B$10,$B$11,$B$8,$B$6:$B$8),0))</f>
        <v>8.2708078084999845E-2</v>
      </c>
    </row>
    <row r="23" spans="4:13" x14ac:dyDescent="0.35">
      <c r="D23" s="13"/>
      <c r="E23" s="15"/>
      <c r="G23" s="13" t="str">
        <f>INDEX(attributes!$1:$1,19)</f>
        <v>health_siphon</v>
      </c>
      <c r="H23" s="15">
        <f>INDEX(attributes!$A$2:$AW$40,MATCH($B$3,attributes!$A$2:$A$40,0),19)</f>
        <v>25</v>
      </c>
      <c r="I23" s="17">
        <f>IF($H23="","",IFERROR(FirstRollShare($H23,$H$6:$H$53,$B$9,$B$11,$B$7,$B$6:$B$8),0))</f>
        <v>8.4331188832401732E-2</v>
      </c>
      <c r="K23" s="13" t="str">
        <f>INDEX(abilities!$1:$1,19)</f>
        <v>ender_pearl_jump</v>
      </c>
      <c r="L23" s="15">
        <f>INDEX(abilities!$A$2:$AS$40,MATCH($B$3,abilities!$A$2:$A$40,0),19)</f>
        <v>10</v>
      </c>
      <c r="M23" s="17">
        <f>IF($L23="","",IFERROR(FirstRollShare($L23,$L$6:$L$49,$B$10,$B$11,$B$8,$B$6:$B$8),0))</f>
        <v>3.5268081467429516E-4</v>
      </c>
    </row>
    <row r="24" spans="4:13" x14ac:dyDescent="0.35">
      <c r="D24" s="13"/>
      <c r="E24" s="15"/>
      <c r="G24" s="13" t="str">
        <f>INDEX(attributes!$1:$1,20)</f>
        <v>herding</v>
      </c>
      <c r="H24" s="15">
        <f>INDEX(attributes!$A$2:$AW$40,MATCH($B$3,attributes!$A$2:$A$40,0),20)</f>
        <v>10</v>
      </c>
      <c r="I24" s="17">
        <f>IF($H24="","",IFERROR(FirstRollShare($H24,$H$6:$H$53,$B$9,$B$11,$B$7,$B$6:$B$8),0))</f>
        <v>2.9096167210629359E-4</v>
      </c>
      <c r="K24" s="13" t="str">
        <f>INDEX(abilities!$1:$1,20)</f>
        <v>evoker_fangs</v>
      </c>
      <c r="L24" s="15">
        <f>INDEX(abilities!$A$2:$AS$40,MATCH($B$3,abilities!$A$2:$A$40,0),20)</f>
        <v>10</v>
      </c>
      <c r="M24" s="17">
        <f>IF($L24="","",IFERROR(FirstRollShare($L24,$L$6:$L$49,$B$10,$B$11,$B$8,$B$6:$B$8),0))</f>
        <v>3.5268081467429516E-4</v>
      </c>
    </row>
    <row r="25" spans="4:13" x14ac:dyDescent="0.35">
      <c r="D25" s="13"/>
      <c r="E25" s="15"/>
      <c r="G25" s="13" t="str">
        <f>INDEX(attributes!$1:$1,21)</f>
        <v>jump_boost</v>
      </c>
      <c r="H25" s="15">
        <f>INDEX(attributes!$A$2:$AW$40,MATCH($B$3,attributes!$A$2:$A$40,0),21)</f>
        <v>10</v>
      </c>
      <c r="I25" s="17">
        <f>IF($H25="","",IFERROR(FirstRollShare($H25,$H$6:$H$53,$B$9,$B$11,$B$7,$B$6:$B$8),0))</f>
        <v>2.9096167210629359E-4</v>
      </c>
      <c r="K25" s="13" t="str">
        <f>INDEX(abilities!$1:$1,21)</f>
        <v>fishing</v>
      </c>
      <c r="L25" s="15">
        <f>INDEX(abilities!$A$2:$AS$40,MATCH($B$3,abilities!$A$2:$A$40,0),21)</f>
        <v>10</v>
      </c>
      <c r="M25" s="17">
        <f>IF($L25="","",IFERROR(FirstRollShare($L25,$L$6:$L$49,$B$10,$B$11,$B$8,$B$6:$B$8),0))</f>
        <v>3.5268081467429516E-4</v>
      </c>
    </row>
    <row r="26" spans="4:13" x14ac:dyDescent="0.35">
      <c r="D26" s="13"/>
      <c r="E26" s="15"/>
      <c r="G26" s="13" t="str">
        <f>INDEX(attributes!$1:$1,22)</f>
        <v>killer</v>
      </c>
      <c r="H26" s="15">
        <f>INDEX(attributes!$A$2:$AW$40,MATCH($B$3,attributes!$A$2:$A$40,0),22)</f>
        <v>10</v>
      </c>
      <c r="I26" s="17">
        <f>IF($H26="","",IFERROR(FirstRollShare($H26,$H$6:$H$53,$B$9,$B$11,$B$7,$B$6:$B$8),0))</f>
        <v>2.9096167210629359E-4</v>
      </c>
      <c r="K26" s="13" t="str">
        <f>INDEX(abilities!$1:$1,22)</f>
        <v>ghast_fireball</v>
      </c>
      <c r="L26" s="15">
        <f>INDEX(abilities!$A$2:$AS$40,MATCH($B$3,abilities!$A$2:$A$40,0),22)</f>
        <v>10</v>
      </c>
      <c r="M26" s="17">
        <f>IF($L26="","",IFERROR(FirstRollShare($L26,$L$6:$L$49,$B$10,$B$11,$B$8,$B$6:$B$8),0))</f>
        <v>3.5268081467429516E-4</v>
      </c>
    </row>
    <row r="27" spans="4:13" x14ac:dyDescent="0.35">
      <c r="D27" s="13"/>
      <c r="E27" s="15"/>
      <c r="G27" s="13" t="str">
        <f>INDEX(attributes!$1:$1,23)</f>
        <v>killexploder</v>
      </c>
      <c r="H27" s="15">
        <f>INDEX(attributes!$A$2:$AW$40,MATCH($B$3,attributes!$A$2:$A$40,0),23)</f>
        <v>10</v>
      </c>
      <c r="I27" s="17">
        <f>IF($H27="","",IFERROR(FirstRollShare($H27,$H$6:$H$53,$B$9,$B$11,$B$7,$B$6:$B$8),0))</f>
        <v>2.9096167210629359E-4</v>
      </c>
      <c r="K27" s="13" t="str">
        <f>INDEX(abilities!$1:$1,23)</f>
        <v>guardian_beam</v>
      </c>
      <c r="L27" s="15">
        <f>INDEX(abilities!$A$2:$AS$40,MATCH($B$3,abilities!$A$2:$A$40,0),23)</f>
        <v>10</v>
      </c>
      <c r="M27" s="17">
        <f>IF($L27="","",IFERROR(FirstRollShare($L27,$L$6:$L$49,$B$10,$B$11,$B$8,$B$6:$B$8),0))</f>
        <v>3.5268081467429516E-4</v>
      </c>
    </row>
    <row r="28" spans="4:13" x14ac:dyDescent="0.35">
      <c r="D28" s="13"/>
      <c r="E28" s="15"/>
      <c r="G28" s="13" t="str">
        <f>INDEX(attributes!$1:$1,24)</f>
        <v>lifesteal</v>
      </c>
      <c r="H28" s="15">
        <f>INDEX(attributes!$A$2:$AW$40,MATCH($B$3,attributes!$A$2:$A$40,0),24)</f>
        <v>10</v>
      </c>
      <c r="I28" s="17">
        <f>IF($H28="","",IFERROR(FirstRollShare($H28,$H$6:$H$53,$B$9,$B$11,$B$7,$B$6:$B$8),0))</f>
        <v>2.9096167210629359E-4</v>
      </c>
      <c r="K28" s="13" t="str">
        <f>INDEX(abilities!$1:$1,24)</f>
        <v>guardian_intercept</v>
      </c>
      <c r="L28" s="15">
        <f>INDEX(abilities!$A$2:$AS$40,MATCH($B$3,abilities!$A$2:$A$40,0),24)</f>
        <v>40</v>
      </c>
      <c r="M28" s="17">
        <f>IF($L28="","",IFERROR(FirstRollShare($L28,$L$6:$L$49,$B$10,$B$11,$B$8,$B$6:$B$8),0))</f>
        <v>8.2708078084999845E-2</v>
      </c>
    </row>
    <row r="29" spans="4:13" x14ac:dyDescent="0.35">
      <c r="D29" s="13"/>
      <c r="E29" s="15"/>
      <c r="G29" s="13" t="str">
        <f>INDEX(attributes!$1:$1,25)</f>
        <v>lightningfang</v>
      </c>
      <c r="H29" s="15">
        <f>INDEX(attributes!$A$2:$AW$40,MATCH($B$3,attributes!$A$2:$A$40,0),25)</f>
        <v>10</v>
      </c>
      <c r="I29" s="17">
        <f>IF($H29="","",IFERROR(FirstRollShare($H29,$H$6:$H$53,$B$9,$B$11,$B$7,$B$6:$B$8),0))</f>
        <v>2.9096167210629359E-4</v>
      </c>
      <c r="K29" s="13" t="str">
        <f>INDEX(abilities!$1:$1,25)</f>
        <v>guardian_repulse</v>
      </c>
      <c r="L29" s="15">
        <f>INDEX(abilities!$A$2:$AS$40,MATCH($B$3,abilities!$A$2:$A$40,0),25)</f>
        <v>40</v>
      </c>
      <c r="M29" s="17">
        <f>IF($L29="","",IFERROR(FirstRollShare($L29,$L$6:$L$49,$B$10,$B$11,$B$8,$B$6:$B$8),0))</f>
        <v>8.2708078084999845E-2</v>
      </c>
    </row>
    <row r="30" spans="4:13" x14ac:dyDescent="0.35">
      <c r="D30" s="13"/>
      <c r="E30" s="15"/>
      <c r="G30" s="13" t="str">
        <f>INDEX(attributes!$1:$1,26)</f>
        <v>linked_inventory</v>
      </c>
      <c r="H30" s="15">
        <f>INDEX(attributes!$A$2:$AW$40,MATCH($B$3,attributes!$A$2:$A$40,0),26)</f>
        <v>10</v>
      </c>
      <c r="I30" s="17">
        <f>IF($H30="","",IFERROR(FirstRollShare($H30,$H$6:$H$53,$B$9,$B$11,$B$7,$B$6:$B$8),0))</f>
        <v>2.9096167210629359E-4</v>
      </c>
      <c r="K30" s="13" t="str">
        <f>INDEX(abilities!$1:$1,26)</f>
        <v>healing_aura</v>
      </c>
      <c r="L30" s="15">
        <f>INDEX(abilities!$A$2:$AS$40,MATCH($B$3,abilities!$A$2:$A$40,0),26)</f>
        <v>10</v>
      </c>
      <c r="M30" s="17">
        <f>IF($L30="","",IFERROR(FirstRollShare($L30,$L$6:$L$49,$B$10,$B$11,$B$8,$B$6:$B$8),0))</f>
        <v>3.5268081467429516E-4</v>
      </c>
    </row>
    <row r="31" spans="4:13" x14ac:dyDescent="0.35">
      <c r="D31" s="13"/>
      <c r="E31" s="15"/>
      <c r="G31" s="13" t="str">
        <f>INDEX(attributes!$1:$1,27)</f>
        <v>magnetic</v>
      </c>
      <c r="H31" s="15">
        <f>INDEX(attributes!$A$2:$AW$40,MATCH($B$3,attributes!$A$2:$A$40,0),27)</f>
        <v>10</v>
      </c>
      <c r="I31" s="17">
        <f>IF($H31="","",IFERROR(FirstRollShare($H31,$H$6:$H$53,$B$9,$B$11,$B$7,$B$6:$B$8),0))</f>
        <v>2.9096167210629359E-4</v>
      </c>
      <c r="K31" s="13" t="str">
        <f>INDEX(abilities!$1:$1,27)</f>
        <v>healing_bottle</v>
      </c>
      <c r="L31" s="15">
        <f>INDEX(abilities!$A$2:$AS$40,MATCH($B$3,abilities!$A$2:$A$40,0),27)</f>
        <v>10</v>
      </c>
      <c r="M31" s="17">
        <f>IF($L31="","",IFERROR(FirstRollShare($L31,$L$6:$L$49,$B$10,$B$11,$B$8,$B$6:$B$8),0))</f>
        <v>3.5268081467429516E-4</v>
      </c>
    </row>
    <row r="32" spans="4:13" x14ac:dyDescent="0.35">
      <c r="D32" s="13"/>
      <c r="E32" s="15"/>
      <c r="G32" s="13" t="str">
        <f>INDEX(attributes!$1:$1,28)</f>
        <v>muffled</v>
      </c>
      <c r="H32" s="15">
        <f>INDEX(attributes!$A$2:$AW$40,MATCH($B$3,attributes!$A$2:$A$40,0),28)</f>
        <v>10</v>
      </c>
      <c r="I32" s="17">
        <f>IF($H32="","",IFERROR(FirstRollShare($H32,$H$6:$H$53,$B$9,$B$11,$B$7,$B$6:$B$8),0))</f>
        <v>2.9096167210629359E-4</v>
      </c>
      <c r="K32" s="13" t="str">
        <f>INDEX(abilities!$1:$1,28)</f>
        <v>immunity_frame</v>
      </c>
      <c r="L32" s="15">
        <f>INDEX(abilities!$A$2:$AS$40,MATCH($B$3,abilities!$A$2:$A$40,0),28)</f>
        <v>40</v>
      </c>
      <c r="M32" s="17">
        <f>IF($L32="","",IFERROR(FirstRollShare($L32,$L$6:$L$49,$B$10,$B$11,$B$8,$B$6:$B$8),0))</f>
        <v>8.2708078084999845E-2</v>
      </c>
    </row>
    <row r="33" spans="4:13" x14ac:dyDescent="0.35">
      <c r="D33" s="13"/>
      <c r="E33" s="15"/>
      <c r="G33" s="13" t="str">
        <f>INDEX(attributes!$1:$1,29)</f>
        <v>negative_effect_transfer</v>
      </c>
      <c r="H33" s="15">
        <f>INDEX(attributes!$A$2:$AW$40,MATCH($B$3,attributes!$A$2:$A$40,0),29)</f>
        <v>10</v>
      </c>
      <c r="I33" s="17">
        <f>IF($H33="","",IFERROR(FirstRollShare($H33,$H$6:$H$53,$B$9,$B$11,$B$7,$B$6:$B$8),0))</f>
        <v>2.9096167210629359E-4</v>
      </c>
      <c r="K33" s="13" t="str">
        <f>INDEX(abilities!$1:$1,29)</f>
        <v>last_stand_fury</v>
      </c>
      <c r="L33" s="15">
        <f>INDEX(abilities!$A$2:$AS$40,MATCH($B$3,abilities!$A$2:$A$40,0),29)</f>
        <v>40</v>
      </c>
      <c r="M33" s="17">
        <f>IF($L33="","",IFERROR(FirstRollShare($L33,$L$6:$L$49,$B$10,$B$11,$B$8,$B$6:$B$8),0))</f>
        <v>8.2708078084999845E-2</v>
      </c>
    </row>
    <row r="34" spans="4:13" x14ac:dyDescent="0.35">
      <c r="D34" s="13"/>
      <c r="E34" s="15"/>
      <c r="G34" s="13" t="str">
        <f>INDEX(attributes!$1:$1,30)</f>
        <v>ore_scenting</v>
      </c>
      <c r="H34" s="15">
        <f>INDEX(attributes!$A$2:$AW$40,MATCH($B$3,attributes!$A$2:$A$40,0),30)</f>
        <v>10</v>
      </c>
      <c r="I34" s="17">
        <f>IF($H34="","",IFERROR(FirstRollShare($H34,$H$6:$H$53,$B$9,$B$11,$B$7,$B$6:$B$8),0))</f>
        <v>2.9096167210629359E-4</v>
      </c>
      <c r="K34" s="13" t="str">
        <f>INDEX(abilities!$1:$1,30)</f>
        <v>life_gift</v>
      </c>
      <c r="L34" s="15">
        <f>INDEX(abilities!$A$2:$AS$40,MATCH($B$3,abilities!$A$2:$A$40,0),30)</f>
        <v>10</v>
      </c>
      <c r="M34" s="17">
        <f>IF($L34="","",IFERROR(FirstRollShare($L34,$L$6:$L$49,$B$10,$B$11,$B$8,$B$6:$B$8),0))</f>
        <v>3.5268081467429516E-4</v>
      </c>
    </row>
    <row r="35" spans="4:13" x14ac:dyDescent="0.35">
      <c r="D35" s="13"/>
      <c r="E35" s="15"/>
      <c r="G35" s="13" t="str">
        <f>INDEX(attributes!$1:$1,31)</f>
        <v>pacifist</v>
      </c>
      <c r="H35" s="15">
        <f>INDEX(attributes!$A$2:$AW$40,MATCH($B$3,attributes!$A$2:$A$40,0),31)</f>
        <v>28</v>
      </c>
      <c r="I35" s="17">
        <f>IF($H35="","",IFERROR(FirstRollShare($H35,$H$6:$H$53,$B$9,$B$11,$B$7,$B$6:$B$8),0))</f>
        <v>9.4450931492289933E-2</v>
      </c>
      <c r="K35" s="13" t="str">
        <f>INDEX(abilities!$1:$1,31)</f>
        <v>lightning_strike</v>
      </c>
      <c r="L35" s="15">
        <f>INDEX(abilities!$A$2:$AS$40,MATCH($B$3,abilities!$A$2:$A$40,0),31)</f>
        <v>10</v>
      </c>
      <c r="M35" s="17">
        <f>IF($L35="","",IFERROR(FirstRollShare($L35,$L$6:$L$49,$B$10,$B$11,$B$8,$B$6:$B$8),0))</f>
        <v>3.5268081467429516E-4</v>
      </c>
    </row>
    <row r="36" spans="4:13" x14ac:dyDescent="0.35">
      <c r="D36" s="13"/>
      <c r="E36" s="15"/>
      <c r="G36" s="13" t="str">
        <f>INDEX(attributes!$1:$1,32)</f>
        <v>pierce</v>
      </c>
      <c r="H36" s="15">
        <f>INDEX(attributes!$A$2:$AW$40,MATCH($B$3,attributes!$A$2:$A$40,0),32)</f>
        <v>10</v>
      </c>
      <c r="I36" s="17">
        <f>IF($H36="","",IFERROR(FirstRollShare($H36,$H$6:$H$53,$B$9,$B$11,$B$7,$B$6:$B$8),0))</f>
        <v>2.9096167210629359E-4</v>
      </c>
      <c r="K36" s="13" t="str">
        <f>INDEX(abilities!$1:$1,32)</f>
        <v>llama_spit</v>
      </c>
      <c r="L36" s="15">
        <f>INDEX(abilities!$A$2:$AS$40,MATCH($B$3,abilities!$A$2:$A$40,0),32)</f>
        <v>10</v>
      </c>
      <c r="M36" s="17">
        <f>IF($L36="","",IFERROR(FirstRollShare($L36,$L$6:$L$49,$B$10,$B$11,$B$8,$B$6:$B$8),0))</f>
        <v>3.5268081467429516E-4</v>
      </c>
    </row>
    <row r="37" spans="4:13" x14ac:dyDescent="0.35">
      <c r="D37" s="13"/>
      <c r="E37" s="15"/>
      <c r="G37" s="13" t="str">
        <f>INDEX(attributes!$1:$1,33)</f>
        <v>poison_fang</v>
      </c>
      <c r="H37" s="15">
        <f>INDEX(attributes!$A$2:$AW$40,MATCH($B$3,attributes!$A$2:$A$40,0),33)</f>
        <v>10</v>
      </c>
      <c r="I37" s="17">
        <f>IF($H37="","",IFERROR(FirstRollShare($H37,$H$6:$H$53,$B$9,$B$11,$B$7,$B$6:$B$8),0))</f>
        <v>2.9096167210629359E-4</v>
      </c>
      <c r="K37" s="13" t="str">
        <f>INDEX(abilities!$1:$1,33)</f>
        <v>pack_guard</v>
      </c>
      <c r="L37" s="15">
        <f>INDEX(abilities!$A$2:$AS$40,MATCH($B$3,abilities!$A$2:$A$40,0),33)</f>
        <v>10</v>
      </c>
      <c r="M37" s="17">
        <f>IF($L37="","",IFERROR(FirstRollShare($L37,$L$6:$L$49,$B$10,$B$11,$B$8,$B$6:$B$8),0))</f>
        <v>3.5268081467429516E-4</v>
      </c>
    </row>
    <row r="38" spans="4:13" x14ac:dyDescent="0.35">
      <c r="D38" s="13"/>
      <c r="E38" s="15"/>
      <c r="G38" s="13" t="str">
        <f>INDEX(attributes!$1:$1,34)</f>
        <v>poison_resistance</v>
      </c>
      <c r="H38" s="15">
        <f>INDEX(attributes!$A$2:$AW$40,MATCH($B$3,attributes!$A$2:$A$40,0),34)</f>
        <v>38</v>
      </c>
      <c r="I38" s="17">
        <f>IF($H38="","",IFERROR(FirstRollShare($H38,$H$6:$H$53,$B$9,$B$11,$B$7,$B$6:$B$8),0))</f>
        <v>0.12818340702525063</v>
      </c>
      <c r="K38" s="13" t="str">
        <f>INDEX(abilities!$1:$1,34)</f>
        <v>psychic_wall</v>
      </c>
      <c r="L38" s="15">
        <f>INDEX(abilities!$A$2:$AS$40,MATCH($B$3,abilities!$A$2:$A$40,0),34)</f>
        <v>40</v>
      </c>
      <c r="M38" s="17">
        <f>IF($L38="","",IFERROR(FirstRollShare($L38,$L$6:$L$49,$B$10,$B$11,$B$8,$B$6:$B$8),0))</f>
        <v>8.2708078084999845E-2</v>
      </c>
    </row>
    <row r="39" spans="4:13" x14ac:dyDescent="0.35">
      <c r="D39" s="13"/>
      <c r="E39" s="15"/>
      <c r="G39" s="13" t="str">
        <f>INDEX(attributes!$1:$1,35)</f>
        <v>positive_effect_steal</v>
      </c>
      <c r="H39" s="15">
        <f>INDEX(attributes!$A$2:$AW$40,MATCH($B$3,attributes!$A$2:$A$40,0),35)</f>
        <v>10</v>
      </c>
      <c r="I39" s="17">
        <f>IF($H39="","",IFERROR(FirstRollShare($H39,$H$6:$H$53,$B$9,$B$11,$B$7,$B$6:$B$8),0))</f>
        <v>2.9096167210629359E-4</v>
      </c>
      <c r="K39" s="13" t="str">
        <f>INDEX(abilities!$1:$1,35)</f>
        <v>retaliation_slow</v>
      </c>
      <c r="L39" s="15">
        <f>INDEX(abilities!$A$2:$AS$40,MATCH($B$3,abilities!$A$2:$A$40,0),35)</f>
        <v>10</v>
      </c>
      <c r="M39" s="17">
        <f>IF($L39="","",IFERROR(FirstRollShare($L39,$L$6:$L$49,$B$10,$B$11,$B$8,$B$6:$B$8),0))</f>
        <v>3.5268081467429516E-4</v>
      </c>
    </row>
    <row r="40" spans="4:13" x14ac:dyDescent="0.35">
      <c r="D40" s="13"/>
      <c r="E40" s="15"/>
      <c r="G40" s="13" t="str">
        <f>INDEX(attributes!$1:$1,36)</f>
        <v>regeneration</v>
      </c>
      <c r="H40" s="15">
        <f>INDEX(attributes!$A$2:$AW$40,MATCH($B$3,attributes!$A$2:$A$40,0),36)</f>
        <v>42</v>
      </c>
      <c r="I40" s="17">
        <f>IF($H40="","",IFERROR(FirstRollShare($H40,$H$6:$H$53,$B$9,$B$11,$B$7,$B$6:$B$8),0))</f>
        <v>0.14167639723843492</v>
      </c>
      <c r="K40" s="13" t="str">
        <f>INDEX(abilities!$1:$1,36)</f>
        <v>revitalizing_presence</v>
      </c>
      <c r="L40" s="15">
        <f>INDEX(abilities!$A$2:$AS$40,MATCH($B$3,abilities!$A$2:$A$40,0),36)</f>
        <v>10</v>
      </c>
      <c r="M40" s="17">
        <f>IF($L40="","",IFERROR(FirstRollShare($L40,$L$6:$L$49,$B$10,$B$11,$B$8,$B$6:$B$8),0))</f>
        <v>3.5268081467429516E-4</v>
      </c>
    </row>
    <row r="41" spans="4:13" x14ac:dyDescent="0.35">
      <c r="G41" s="13" t="str">
        <f>INDEX(attributes!$1:$1,37)</f>
        <v>rejuvenation</v>
      </c>
      <c r="H41" s="15">
        <f>INDEX(attributes!$A$2:$AW$40,MATCH($B$3,attributes!$A$2:$A$40,0),37)</f>
        <v>10</v>
      </c>
      <c r="I41" s="17">
        <f>IF($H41="","",IFERROR(FirstRollShare($H41,$H$6:$H$53,$B$9,$B$11,$B$7,$B$6:$B$8),0))</f>
        <v>2.9096167210629359E-4</v>
      </c>
      <c r="K41" s="13" t="str">
        <f>INDEX(abilities!$1:$1,37)</f>
        <v>shadow_hands</v>
      </c>
      <c r="L41" s="15">
        <f>INDEX(abilities!$A$2:$AS$40,MATCH($B$3,abilities!$A$2:$A$40,0),37)</f>
        <v>10</v>
      </c>
      <c r="M41" s="17">
        <f>IF($L41="","",IFERROR(FirstRollShare($L41,$L$6:$L$49,$B$10,$B$11,$B$8,$B$6:$B$8),0))</f>
        <v>3.5268081467429516E-4</v>
      </c>
    </row>
    <row r="42" spans="4:13" x14ac:dyDescent="0.35">
      <c r="G42" s="13" t="str">
        <f>INDEX(attributes!$1:$1,38)</f>
        <v>resistance</v>
      </c>
      <c r="H42" s="15">
        <f>INDEX(attributes!$A$2:$AW$40,MATCH($B$3,attributes!$A$2:$A$40,0),38)</f>
        <v>46</v>
      </c>
      <c r="I42" s="17">
        <f>IF($H42="","",IFERROR(FirstRollShare($H42,$H$6:$H$53,$B$9,$B$11,$B$7,$B$6:$B$8),0))</f>
        <v>0.15516938745161918</v>
      </c>
      <c r="K42" s="13" t="str">
        <f>INDEX(abilities!$1:$1,38)</f>
        <v>shield_block</v>
      </c>
      <c r="L42" s="15">
        <f>INDEX(abilities!$A$2:$AS$40,MATCH($B$3,abilities!$A$2:$A$40,0),38)</f>
        <v>40</v>
      </c>
      <c r="M42" s="17">
        <f>IF($L42="","",IFERROR(FirstRollShare($L42,$L$6:$L$49,$B$10,$B$11,$B$8,$B$6:$B$8),0))</f>
        <v>8.2708078084999845E-2</v>
      </c>
    </row>
    <row r="43" spans="4:13" x14ac:dyDescent="0.35">
      <c r="G43" s="13" t="str">
        <f>INDEX(attributes!$1:$1,39)</f>
        <v>smite</v>
      </c>
      <c r="H43" s="15">
        <f>INDEX(attributes!$A$2:$AW$40,MATCH($B$3,attributes!$A$2:$A$40,0),39)</f>
        <v>10</v>
      </c>
      <c r="I43" s="17">
        <f>IF($H43="","",IFERROR(FirstRollShare($H43,$H$6:$H$53,$B$9,$B$11,$B$7,$B$6:$B$8),0))</f>
        <v>2.9096167210629359E-4</v>
      </c>
      <c r="K43" s="13" t="str">
        <f>INDEX(abilities!$1:$1,39)</f>
        <v>shulker_bullet</v>
      </c>
      <c r="L43" s="15">
        <f>INDEX(abilities!$A$2:$AS$40,MATCH($B$3,abilities!$A$2:$A$40,0),39)</f>
        <v>10</v>
      </c>
      <c r="M43" s="17">
        <f>IF($L43="","",IFERROR(FirstRollShare($L43,$L$6:$L$49,$B$10,$B$11,$B$8,$B$6:$B$8),0))</f>
        <v>3.5268081467429516E-4</v>
      </c>
    </row>
    <row r="44" spans="4:13" x14ac:dyDescent="0.35">
      <c r="G44" s="13" t="str">
        <f>INDEX(attributes!$1:$1,40)</f>
        <v>speed</v>
      </c>
      <c r="H44" s="15">
        <f>INDEX(attributes!$A$2:$AW$40,MATCH($B$3,attributes!$A$2:$A$40,0),40)</f>
        <v>10</v>
      </c>
      <c r="I44" s="17">
        <f>IF($H44="","",IFERROR(FirstRollShare($H44,$H$6:$H$53,$B$9,$B$11,$B$7,$B$6:$B$8),0))</f>
        <v>2.9096167210629359E-4</v>
      </c>
      <c r="K44" s="13" t="str">
        <f>INDEX(abilities!$1:$1,40)</f>
        <v>sky_launch</v>
      </c>
      <c r="L44" s="15">
        <f>INDEX(abilities!$A$2:$AS$40,MATCH($B$3,abilities!$A$2:$A$40,0),40)</f>
        <v>10</v>
      </c>
      <c r="M44" s="17">
        <f>IF($L44="","",IFERROR(FirstRollShare($L44,$L$6:$L$49,$B$10,$B$11,$B$8,$B$6:$B$8),0))</f>
        <v>3.5268081467429516E-4</v>
      </c>
    </row>
    <row r="45" spans="4:13" x14ac:dyDescent="0.35">
      <c r="G45" s="13" t="str">
        <f>INDEX(attributes!$1:$1,41)</f>
        <v>strength</v>
      </c>
      <c r="H45" s="15">
        <f>INDEX(attributes!$A$2:$AW$40,MATCH($B$3,attributes!$A$2:$A$40,0),41)</f>
        <v>10</v>
      </c>
      <c r="I45" s="17">
        <f>IF($H45="","",IFERROR(FirstRollShare($H45,$H$6:$H$53,$B$9,$B$11,$B$7,$B$6:$B$8),0))</f>
        <v>2.9096167210629359E-4</v>
      </c>
      <c r="K45" s="13" t="str">
        <f>INDEX(abilities!$1:$1,41)</f>
        <v>snowball_shot</v>
      </c>
      <c r="L45" s="15">
        <f>INDEX(abilities!$A$2:$AS$40,MATCH($B$3,abilities!$A$2:$A$40,0),41)</f>
        <v>10</v>
      </c>
      <c r="M45" s="17">
        <f>IF($L45="","",IFERROR(FirstRollShare($L45,$L$6:$L$49,$B$10,$B$11,$B$8,$B$6:$B$8),0))</f>
        <v>3.5268081467429516E-4</v>
      </c>
    </row>
    <row r="46" spans="4:13" x14ac:dyDescent="0.35">
      <c r="G46" s="13" t="str">
        <f>INDEX(attributes!$1:$1,42)</f>
        <v>sweeping_edge</v>
      </c>
      <c r="H46" s="15">
        <f>INDEX(attributes!$A$2:$AW$40,MATCH($B$3,attributes!$A$2:$A$40,0),42)</f>
        <v>10</v>
      </c>
      <c r="I46" s="17">
        <f>IF($H46="","",IFERROR(FirstRollShare($H46,$H$6:$H$53,$B$9,$B$11,$B$7,$B$6:$B$8),0))</f>
        <v>2.9096167210629359E-4</v>
      </c>
      <c r="K46" s="13" t="str">
        <f>INDEX(abilities!$1:$1,42)</f>
        <v>triage_pulse</v>
      </c>
      <c r="L46" s="15">
        <f>INDEX(abilities!$A$2:$AS$40,MATCH($B$3,abilities!$A$2:$A$40,0),42)</f>
        <v>10</v>
      </c>
      <c r="M46" s="17">
        <f>IF($L46="","",IFERROR(FirstRollShare($L46,$L$6:$L$49,$B$10,$B$11,$B$8,$B$6:$B$8),0))</f>
        <v>3.5268081467429516E-4</v>
      </c>
    </row>
    <row r="47" spans="4:13" x14ac:dyDescent="0.35">
      <c r="G47" s="13" t="str">
        <f>INDEX(attributes!$1:$1,43)</f>
        <v>tethered_teleport</v>
      </c>
      <c r="H47" s="15">
        <f>INDEX(attributes!$A$2:$AW$40,MATCH($B$3,attributes!$A$2:$A$40,0),43)</f>
        <v>10</v>
      </c>
      <c r="I47" s="17">
        <f>IF($H47="","",IFERROR(FirstRollShare($H47,$H$6:$H$53,$B$9,$B$11,$B$7,$B$6:$B$8),0))</f>
        <v>2.9096167210629359E-4</v>
      </c>
      <c r="K47" s="13" t="str">
        <f>INDEX(abilities!$1:$1,43)</f>
        <v>trident</v>
      </c>
      <c r="L47" s="15">
        <f>INDEX(abilities!$A$2:$AS$40,MATCH($B$3,abilities!$A$2:$A$40,0),43)</f>
        <v>10</v>
      </c>
      <c r="M47" s="17">
        <f>IF($L47="","",IFERROR(FirstRollShare($L47,$L$6:$L$49,$B$10,$B$11,$B$8,$B$6:$B$8),0))</f>
        <v>3.5268081467429516E-4</v>
      </c>
    </row>
    <row r="48" spans="4:13" x14ac:dyDescent="0.35">
      <c r="G48" s="13" t="str">
        <f>INDEX(attributes!$1:$1,44)</f>
        <v>totem</v>
      </c>
      <c r="H48" s="15">
        <f>INDEX(attributes!$A$2:$AW$40,MATCH($B$3,attributes!$A$2:$A$40,0),44)</f>
        <v>36</v>
      </c>
      <c r="I48" s="17">
        <f>IF($H48="","",IFERROR(FirstRollShare($H48,$H$6:$H$53,$B$9,$B$11,$B$7,$B$6:$B$8),0))</f>
        <v>0.1214369119186585</v>
      </c>
      <c r="K48" s="13" t="str">
        <f>INDEX(abilities!$1:$1,44)</f>
        <v>warden_scream</v>
      </c>
      <c r="L48" s="15">
        <f>INDEX(abilities!$A$2:$AS$40,MATCH($B$3,abilities!$A$2:$A$40,0),44)</f>
        <v>10</v>
      </c>
      <c r="M48" s="17">
        <f>IF($L48="","",IFERROR(FirstRollShare($L48,$L$6:$L$49,$B$10,$B$11,$B$8,$B$6:$B$8),0))</f>
        <v>3.5268081467429516E-4</v>
      </c>
    </row>
    <row r="49" spans="7:13" x14ac:dyDescent="0.35">
      <c r="G49" s="13" t="str">
        <f>INDEX(attributes!$1:$1,45)</f>
        <v>victim_siphon</v>
      </c>
      <c r="H49" s="15">
        <f>INDEX(attributes!$A$2:$AW$40,MATCH($B$3,attributes!$A$2:$A$40,0),45)</f>
        <v>10</v>
      </c>
      <c r="I49" s="17">
        <f>IF($H49="","",IFERROR(FirstRollShare($H49,$H$6:$H$53,$B$9,$B$11,$B$7,$B$6:$B$8),0))</f>
        <v>2.9096167210629359E-4</v>
      </c>
      <c r="K49" s="13" t="str">
        <f>INDEX(abilities!$1:$1,45)</f>
        <v>wither_skull</v>
      </c>
      <c r="L49" s="15">
        <f>INDEX(abilities!$A$2:$AS$40,MATCH($B$3,abilities!$A$2:$A$40,0),45)</f>
        <v>10</v>
      </c>
      <c r="M49" s="17">
        <f>IF($L49="","",IFERROR(FirstRollShare($L49,$L$6:$L$49,$B$10,$B$11,$B$8,$B$6:$B$8),0))</f>
        <v>3.5268081467429516E-4</v>
      </c>
    </row>
    <row r="50" spans="7:13" x14ac:dyDescent="0.35">
      <c r="G50" s="13" t="str">
        <f>INDEX(attributes!$1:$1,46)</f>
        <v>void_cloud</v>
      </c>
      <c r="H50" s="15">
        <f>INDEX(attributes!$A$2:$AW$40,MATCH($B$3,attributes!$A$2:$A$40,0),46)</f>
        <v>10</v>
      </c>
      <c r="I50" s="17">
        <f>IF($H50="","",IFERROR(FirstRollShare($H50,$H$6:$H$53,$B$9,$B$11,$B$7,$B$6:$B$8),0))</f>
        <v>2.9096167210629359E-4</v>
      </c>
      <c r="K50" s="13"/>
      <c r="L50" s="15"/>
      <c r="M50" s="17"/>
    </row>
    <row r="51" spans="7:13" x14ac:dyDescent="0.35">
      <c r="G51" s="13" t="str">
        <f>INDEX(attributes!$1:$1,47)</f>
        <v>wall_climber</v>
      </c>
      <c r="H51" s="15">
        <f>INDEX(attributes!$A$2:$AW$40,MATCH($B$3,attributes!$A$2:$A$40,0),47)</f>
        <v>10</v>
      </c>
      <c r="I51" s="17">
        <f>IF($H51="","",IFERROR(FirstRollShare($H51,$H$6:$H$53,$B$9,$B$11,$B$7,$B$6:$B$8),0))</f>
        <v>2.9096167210629359E-4</v>
      </c>
      <c r="K51" s="13"/>
      <c r="L51" s="15"/>
      <c r="M51" s="17"/>
    </row>
    <row r="52" spans="7:13" x14ac:dyDescent="0.35">
      <c r="G52" s="13" t="str">
        <f>INDEX(attributes!$1:$1,48)</f>
        <v>warping_bite</v>
      </c>
      <c r="H52" s="15">
        <f>INDEX(attributes!$A$2:$AW$40,MATCH($B$3,attributes!$A$2:$A$40,0),48)</f>
        <v>10</v>
      </c>
      <c r="I52" s="17">
        <f>IF($H52="","",IFERROR(FirstRollShare($H52,$H$6:$H$53,$B$9,$B$11,$B$7,$B$6:$B$8),0))</f>
        <v>2.9096167210629359E-4</v>
      </c>
      <c r="K52" s="13"/>
      <c r="L52" s="15"/>
      <c r="M52" s="17"/>
    </row>
    <row r="53" spans="7:13" x14ac:dyDescent="0.35">
      <c r="G53" s="13" t="str">
        <f>INDEX(attributes!$1:$1,49)</f>
        <v>witherfang</v>
      </c>
      <c r="H53" s="15">
        <f>INDEX(attributes!$A$2:$AW$40,MATCH($B$3,attributes!$A$2:$A$40,0),49)</f>
        <v>10</v>
      </c>
      <c r="I53" s="17">
        <f>IF($H53="","",IFERROR(FirstRollShare($H53,$H$6:$H$53,$B$9,$B$11,$B$7,$B$6:$B$8),0))</f>
        <v>2.9096167210629359E-4</v>
      </c>
      <c r="K53" s="13"/>
      <c r="L53" s="15"/>
      <c r="M53" s="17"/>
    </row>
    <row r="54" spans="7:13" x14ac:dyDescent="0.35">
      <c r="G54" s="13"/>
      <c r="H54" s="15"/>
      <c r="I54" s="17"/>
      <c r="K54" s="13"/>
      <c r="L54" s="15"/>
      <c r="M54" s="17"/>
    </row>
    <row r="55" spans="7:13" x14ac:dyDescent="0.35">
      <c r="G55" s="13"/>
      <c r="H55" s="15"/>
      <c r="I55" s="17"/>
      <c r="K55" s="13"/>
      <c r="L55" s="15"/>
      <c r="M55" s="17"/>
    </row>
    <row r="56" spans="7:13" x14ac:dyDescent="0.35">
      <c r="G56" s="13"/>
      <c r="H56" s="15"/>
      <c r="I56" s="17"/>
      <c r="K56" s="13"/>
      <c r="L56" s="15"/>
      <c r="M56" s="17"/>
    </row>
    <row r="57" spans="7:13" x14ac:dyDescent="0.35">
      <c r="G57" s="13"/>
      <c r="H57" s="15"/>
      <c r="I57" s="17"/>
      <c r="K57" s="13"/>
      <c r="L57" s="15"/>
      <c r="M57" s="17"/>
    </row>
    <row r="58" spans="7:13" x14ac:dyDescent="0.35">
      <c r="G58" s="13"/>
      <c r="H58" s="15"/>
      <c r="I58" s="17"/>
      <c r="K58" s="13"/>
      <c r="L58" s="15"/>
      <c r="M58" s="17"/>
    </row>
    <row r="59" spans="7:13" x14ac:dyDescent="0.35">
      <c r="G59" s="13"/>
      <c r="H59" s="15"/>
      <c r="I59" s="17"/>
      <c r="K59" s="13"/>
      <c r="L59" s="15"/>
      <c r="M59" s="17"/>
    </row>
    <row r="60" spans="7:13" x14ac:dyDescent="0.35">
      <c r="G60" s="13"/>
      <c r="H60" s="15"/>
      <c r="I60" s="17"/>
      <c r="K60" s="13"/>
      <c r="L60" s="15"/>
      <c r="M60" s="17"/>
    </row>
    <row r="61" spans="7:13" x14ac:dyDescent="0.35">
      <c r="G61" s="13"/>
      <c r="H61" s="15"/>
      <c r="I61" s="17"/>
      <c r="K61" s="13"/>
      <c r="L61" s="15"/>
      <c r="M61" s="17"/>
    </row>
    <row r="62" spans="7:13" x14ac:dyDescent="0.35">
      <c r="G62" s="13"/>
      <c r="H62" s="15"/>
      <c r="I62" s="17"/>
      <c r="K62" s="13"/>
      <c r="L62" s="15"/>
      <c r="M62" s="17"/>
    </row>
    <row r="63" spans="7:13" x14ac:dyDescent="0.35">
      <c r="G63" s="13"/>
      <c r="H63" s="15"/>
      <c r="I63" s="17"/>
      <c r="K63" s="13"/>
      <c r="L63" s="15"/>
      <c r="M63" s="17"/>
    </row>
    <row r="64" spans="7:13" x14ac:dyDescent="0.35">
      <c r="G64" s="13"/>
      <c r="H64" s="15"/>
      <c r="I64" s="17"/>
      <c r="K64" s="13"/>
      <c r="L64" s="15"/>
      <c r="M64" s="17"/>
    </row>
    <row r="65" spans="7:13" x14ac:dyDescent="0.35">
      <c r="G65" s="13"/>
      <c r="H65" s="15"/>
      <c r="I65" s="17"/>
      <c r="K65" s="13"/>
      <c r="L65" s="15"/>
      <c r="M65" s="17"/>
    </row>
    <row r="66" spans="7:13" x14ac:dyDescent="0.35">
      <c r="G66" s="13"/>
      <c r="H66" s="15"/>
      <c r="I66" s="17"/>
      <c r="K66" s="13"/>
      <c r="L66" s="15"/>
      <c r="M66" s="17"/>
    </row>
    <row r="67" spans="7:13" x14ac:dyDescent="0.35">
      <c r="G67" s="13"/>
      <c r="H67" s="15"/>
      <c r="I67" s="17"/>
      <c r="K67" s="13"/>
      <c r="L67" s="15"/>
      <c r="M67" s="17"/>
    </row>
    <row r="68" spans="7:13" x14ac:dyDescent="0.35">
      <c r="G68" s="13"/>
      <c r="H68" s="15"/>
      <c r="I68" s="17"/>
      <c r="K68" s="13"/>
      <c r="L68" s="15"/>
      <c r="M68" s="17"/>
    </row>
    <row r="69" spans="7:13" x14ac:dyDescent="0.35">
      <c r="G69" s="13"/>
      <c r="H69" s="15"/>
      <c r="I69" s="17"/>
      <c r="K69" s="13"/>
      <c r="L69" s="15"/>
      <c r="M69" s="17"/>
    </row>
    <row r="70" spans="7:13" x14ac:dyDescent="0.35">
      <c r="G70" s="13"/>
      <c r="H70" s="15"/>
      <c r="I70" s="17"/>
      <c r="K70" s="13"/>
      <c r="L70" s="15"/>
      <c r="M70" s="17"/>
    </row>
    <row r="71" spans="7:13" x14ac:dyDescent="0.35">
      <c r="G71" s="13"/>
      <c r="H71" s="15"/>
      <c r="I71" s="17"/>
      <c r="K71" s="13"/>
      <c r="L71" s="15"/>
      <c r="M71" s="17"/>
    </row>
    <row r="72" spans="7:13" x14ac:dyDescent="0.35">
      <c r="G72" s="13"/>
      <c r="H72" s="15"/>
      <c r="I72" s="17"/>
      <c r="K72" s="13"/>
      <c r="L72" s="15"/>
      <c r="M72" s="17"/>
    </row>
    <row r="73" spans="7:13" x14ac:dyDescent="0.35">
      <c r="G73" s="13"/>
      <c r="H73" s="15"/>
      <c r="I73" s="17"/>
      <c r="K73" s="13"/>
      <c r="L73" s="15"/>
      <c r="M73" s="17"/>
    </row>
    <row r="74" spans="7:13" x14ac:dyDescent="0.35">
      <c r="G74" s="13"/>
      <c r="H74" s="15"/>
      <c r="I74" s="17"/>
      <c r="K74" s="13"/>
      <c r="L74" s="15"/>
      <c r="M74" s="17"/>
    </row>
    <row r="75" spans="7:13" x14ac:dyDescent="0.35">
      <c r="G75" s="13"/>
      <c r="H75" s="15"/>
      <c r="I75" s="17"/>
      <c r="K75" s="13"/>
      <c r="L75" s="15"/>
      <c r="M75" s="17"/>
    </row>
    <row r="76" spans="7:13" x14ac:dyDescent="0.35">
      <c r="G76" s="13"/>
      <c r="H76" s="15"/>
      <c r="I76" s="17"/>
      <c r="K76" s="13"/>
      <c r="L76" s="15"/>
      <c r="M76" s="17"/>
    </row>
    <row r="77" spans="7:13" x14ac:dyDescent="0.35">
      <c r="G77" s="13"/>
      <c r="H77" s="15"/>
      <c r="I77" s="17"/>
      <c r="K77" s="13"/>
      <c r="L77" s="15"/>
      <c r="M77" s="17"/>
    </row>
    <row r="78" spans="7:13" x14ac:dyDescent="0.35">
      <c r="G78" s="13"/>
      <c r="H78" s="15"/>
      <c r="I78" s="17"/>
      <c r="K78" s="13"/>
      <c r="L78" s="15"/>
      <c r="M78" s="17"/>
    </row>
    <row r="79" spans="7:13" x14ac:dyDescent="0.35">
      <c r="G79" s="13"/>
      <c r="H79" s="15"/>
      <c r="I79" s="17"/>
      <c r="K79" s="13"/>
      <c r="L79" s="15"/>
      <c r="M79" s="17"/>
    </row>
    <row r="80" spans="7:13" x14ac:dyDescent="0.35">
      <c r="G80" s="13"/>
      <c r="H80" s="15"/>
      <c r="I80" s="17"/>
      <c r="K80" s="13"/>
      <c r="L80" s="15"/>
      <c r="M80" s="17"/>
    </row>
    <row r="81" spans="7:13" x14ac:dyDescent="0.35">
      <c r="G81" s="13"/>
      <c r="H81" s="15"/>
      <c r="I81" s="17"/>
      <c r="K81" s="13"/>
      <c r="L81" s="15"/>
      <c r="M81" s="17"/>
    </row>
    <row r="82" spans="7:13" x14ac:dyDescent="0.35">
      <c r="G82" s="13"/>
      <c r="H82" s="15"/>
      <c r="I82" s="17"/>
      <c r="K82" s="13"/>
      <c r="L82" s="15"/>
      <c r="M82" s="17"/>
    </row>
    <row r="83" spans="7:13" x14ac:dyDescent="0.35">
      <c r="G83" s="13"/>
      <c r="H83" s="15"/>
      <c r="I83" s="17"/>
      <c r="K83" s="13"/>
      <c r="L83" s="15"/>
      <c r="M83" s="17"/>
    </row>
    <row r="84" spans="7:13" x14ac:dyDescent="0.35">
      <c r="G84" s="13"/>
      <c r="H84" s="15"/>
      <c r="I84" s="17"/>
      <c r="K84" s="13"/>
      <c r="L84" s="15"/>
      <c r="M84" s="17"/>
    </row>
    <row r="85" spans="7:13" x14ac:dyDescent="0.35">
      <c r="G85" s="13"/>
      <c r="H85" s="15"/>
      <c r="I85" s="17"/>
      <c r="K85" s="13"/>
      <c r="L85" s="15"/>
      <c r="M85" s="17"/>
    </row>
    <row r="86" spans="7:13" x14ac:dyDescent="0.35">
      <c r="G86" s="13"/>
      <c r="H86" s="15"/>
      <c r="I86" s="17"/>
      <c r="K86" s="13"/>
      <c r="L86" s="15"/>
      <c r="M86" s="17"/>
    </row>
    <row r="87" spans="7:13" x14ac:dyDescent="0.35">
      <c r="G87" s="13"/>
      <c r="H87" s="15"/>
      <c r="I87" s="17"/>
      <c r="K87" s="13"/>
      <c r="L87" s="15"/>
      <c r="M87" s="17"/>
    </row>
    <row r="88" spans="7:13" x14ac:dyDescent="0.35">
      <c r="G88" s="13"/>
      <c r="H88" s="15"/>
      <c r="I88" s="17"/>
      <c r="K88" s="13"/>
      <c r="L88" s="15"/>
      <c r="M88" s="17"/>
    </row>
    <row r="89" spans="7:13" x14ac:dyDescent="0.35">
      <c r="G89" s="13"/>
      <c r="H89" s="15"/>
      <c r="I89" s="17"/>
      <c r="K89" s="13"/>
      <c r="L89" s="15"/>
      <c r="M89" s="17"/>
    </row>
    <row r="90" spans="7:13" x14ac:dyDescent="0.35">
      <c r="G90" s="13"/>
      <c r="H90" s="15"/>
      <c r="I90" s="17"/>
      <c r="K90" s="13"/>
      <c r="L90" s="15"/>
      <c r="M90" s="17"/>
    </row>
    <row r="91" spans="7:13" x14ac:dyDescent="0.35">
      <c r="G91" s="13"/>
      <c r="H91" s="15"/>
      <c r="I91" s="17"/>
      <c r="K91" s="13"/>
      <c r="L91" s="15"/>
      <c r="M91" s="17"/>
    </row>
    <row r="92" spans="7:13" x14ac:dyDescent="0.35">
      <c r="G92" s="13"/>
      <c r="H92" s="15"/>
      <c r="I92" s="17"/>
      <c r="K92" s="13"/>
      <c r="L92" s="15"/>
      <c r="M92" s="17"/>
    </row>
    <row r="93" spans="7:13" x14ac:dyDescent="0.35">
      <c r="G93" s="13"/>
      <c r="H93" s="15"/>
      <c r="I93" s="17"/>
      <c r="K93" s="13"/>
      <c r="L93" s="15"/>
      <c r="M93" s="17"/>
    </row>
    <row r="94" spans="7:13" x14ac:dyDescent="0.35">
      <c r="G94" s="13"/>
      <c r="H94" s="15"/>
      <c r="I94" s="17"/>
      <c r="K94" s="13"/>
      <c r="L94" s="15"/>
      <c r="M94" s="17"/>
    </row>
    <row r="95" spans="7:13" x14ac:dyDescent="0.35">
      <c r="G95" s="13"/>
      <c r="H95" s="15"/>
      <c r="I95" s="17"/>
      <c r="K95" s="13"/>
      <c r="L95" s="15"/>
      <c r="M95" s="17"/>
    </row>
    <row r="96" spans="7:13" x14ac:dyDescent="0.35">
      <c r="G96" s="13"/>
      <c r="H96" s="15"/>
      <c r="I96" s="17"/>
      <c r="K96" s="13"/>
      <c r="L96" s="15"/>
      <c r="M96" s="17"/>
    </row>
    <row r="97" spans="7:13" x14ac:dyDescent="0.35">
      <c r="G97" s="13"/>
      <c r="H97" s="15"/>
      <c r="I97" s="17"/>
      <c r="K97" s="13"/>
      <c r="L97" s="15"/>
      <c r="M97" s="17"/>
    </row>
    <row r="98" spans="7:13" x14ac:dyDescent="0.35">
      <c r="G98" s="13"/>
      <c r="H98" s="15"/>
      <c r="I98" s="17"/>
      <c r="K98" s="13"/>
      <c r="L98" s="15"/>
      <c r="M98" s="17"/>
    </row>
    <row r="99" spans="7:13" x14ac:dyDescent="0.35">
      <c r="G99" s="13"/>
      <c r="H99" s="15"/>
      <c r="I99" s="17"/>
      <c r="K99" s="13"/>
      <c r="L99" s="15"/>
      <c r="M99" s="17"/>
    </row>
    <row r="100" spans="7:13" x14ac:dyDescent="0.35">
      <c r="G100" s="13"/>
      <c r="H100" s="15"/>
      <c r="I100" s="17"/>
      <c r="K100" s="13"/>
      <c r="L100" s="15"/>
      <c r="M100" s="17"/>
    </row>
    <row r="101" spans="7:13" x14ac:dyDescent="0.35">
      <c r="G101" s="13"/>
      <c r="H101" s="15"/>
      <c r="I101" s="17"/>
      <c r="K101" s="13"/>
      <c r="L101" s="15"/>
      <c r="M101" s="17"/>
    </row>
    <row r="102" spans="7:13" x14ac:dyDescent="0.35">
      <c r="G102" s="13"/>
      <c r="H102" s="15"/>
      <c r="I102" s="17"/>
      <c r="K102" s="13"/>
      <c r="L102" s="15"/>
      <c r="M102" s="17"/>
    </row>
    <row r="103" spans="7:13" x14ac:dyDescent="0.35">
      <c r="G103" s="13"/>
      <c r="H103" s="15"/>
      <c r="I103" s="17"/>
      <c r="K103" s="13"/>
      <c r="L103" s="15"/>
      <c r="M103" s="17"/>
    </row>
    <row r="104" spans="7:13" x14ac:dyDescent="0.35">
      <c r="G104" s="13"/>
      <c r="H104" s="15"/>
      <c r="I104" s="17"/>
      <c r="K104" s="13"/>
      <c r="L104" s="15"/>
      <c r="M104" s="17"/>
    </row>
    <row r="105" spans="7:13" x14ac:dyDescent="0.35">
      <c r="G105" s="13"/>
      <c r="H105" s="15"/>
      <c r="I105" s="17"/>
      <c r="K105" s="13"/>
      <c r="L105" s="15"/>
      <c r="M105" s="17"/>
    </row>
    <row r="106" spans="7:13" x14ac:dyDescent="0.35">
      <c r="G106" s="13"/>
      <c r="H106" s="15"/>
      <c r="I106" s="17"/>
      <c r="K106" s="13"/>
      <c r="L106" s="15"/>
      <c r="M106" s="17"/>
    </row>
    <row r="107" spans="7:13" x14ac:dyDescent="0.35">
      <c r="G107" s="13"/>
      <c r="H107" s="15"/>
      <c r="I107" s="17"/>
      <c r="K107" s="13"/>
      <c r="L107" s="15"/>
      <c r="M107" s="17"/>
    </row>
    <row r="108" spans="7:13" x14ac:dyDescent="0.35">
      <c r="G108" s="13"/>
      <c r="H108" s="15"/>
      <c r="I108" s="17"/>
      <c r="K108" s="13"/>
      <c r="L108" s="15"/>
      <c r="M108" s="17"/>
    </row>
    <row r="109" spans="7:13" x14ac:dyDescent="0.35">
      <c r="G109" s="13"/>
      <c r="H109" s="15"/>
      <c r="I109" s="17"/>
      <c r="K109" s="13"/>
      <c r="L109" s="15"/>
      <c r="M109" s="17"/>
    </row>
    <row r="110" spans="7:13" x14ac:dyDescent="0.35">
      <c r="G110" s="13"/>
      <c r="H110" s="15"/>
      <c r="I110" s="17"/>
      <c r="K110" s="13"/>
      <c r="L110" s="15"/>
      <c r="M110" s="17"/>
    </row>
    <row r="111" spans="7:13" x14ac:dyDescent="0.35">
      <c r="G111" s="13"/>
      <c r="H111" s="15"/>
      <c r="I111" s="17"/>
      <c r="K111" s="13"/>
      <c r="L111" s="15"/>
      <c r="M111" s="17"/>
    </row>
    <row r="112" spans="7:13" x14ac:dyDescent="0.35">
      <c r="G112" s="13"/>
      <c r="H112" s="15"/>
      <c r="I112" s="17"/>
      <c r="K112" s="13"/>
      <c r="L112" s="15"/>
      <c r="M112" s="17"/>
    </row>
    <row r="113" spans="7:13" x14ac:dyDescent="0.35">
      <c r="G113" s="13"/>
      <c r="H113" s="15"/>
      <c r="I113" s="17"/>
      <c r="K113" s="13"/>
      <c r="L113" s="15"/>
      <c r="M113" s="17"/>
    </row>
    <row r="114" spans="7:13" x14ac:dyDescent="0.35">
      <c r="G114" s="13"/>
      <c r="H114" s="15"/>
      <c r="I114" s="17"/>
      <c r="K114" s="13"/>
      <c r="L114" s="15"/>
      <c r="M114" s="17"/>
    </row>
    <row r="115" spans="7:13" x14ac:dyDescent="0.35">
      <c r="G115" s="13"/>
      <c r="H115" s="15"/>
      <c r="I115" s="17"/>
      <c r="K115" s="13"/>
      <c r="L115" s="15"/>
      <c r="M115" s="17"/>
    </row>
    <row r="116" spans="7:13" x14ac:dyDescent="0.35">
      <c r="G116" s="13"/>
      <c r="H116" s="15"/>
      <c r="I116" s="17"/>
      <c r="K116" s="13"/>
      <c r="L116" s="15"/>
      <c r="M116" s="17"/>
    </row>
    <row r="117" spans="7:13" x14ac:dyDescent="0.35">
      <c r="G117" s="13"/>
      <c r="H117" s="15"/>
      <c r="I117" s="17"/>
      <c r="K117" s="13"/>
      <c r="L117" s="15"/>
      <c r="M117" s="17"/>
    </row>
    <row r="118" spans="7:13" x14ac:dyDescent="0.35">
      <c r="G118" s="13"/>
      <c r="H118" s="15"/>
      <c r="I118" s="17"/>
      <c r="K118" s="13"/>
      <c r="L118" s="15"/>
      <c r="M118" s="17"/>
    </row>
    <row r="119" spans="7:13" x14ac:dyDescent="0.35">
      <c r="G119" s="13"/>
      <c r="H119" s="15"/>
      <c r="I119" s="17"/>
      <c r="K119" s="13"/>
      <c r="L119" s="15"/>
      <c r="M119" s="17"/>
    </row>
    <row r="120" spans="7:13" x14ac:dyDescent="0.35">
      <c r="G120" s="13"/>
      <c r="H120" s="15"/>
      <c r="I120" s="17"/>
      <c r="K120" s="13"/>
      <c r="L120" s="15"/>
      <c r="M120" s="17"/>
    </row>
  </sheetData>
  <dataValidations count="3">
    <dataValidation type="list" allowBlank="1" showInputMessage="1" sqref="B11" xr:uid="{131E651B-8619-4A30-99CA-0BE74F54663F}">
      <mc:AlternateContent xmlns:x12ac="http://schemas.microsoft.com/office/spreadsheetml/2011/1/ac" xmlns:mc="http://schemas.openxmlformats.org/markup-compatibility/2006">
        <mc:Choice Requires="x12ac">
          <x12ac:list>"TRUE,FALSE"</x12ac:list>
        </mc:Choice>
        <mc:Fallback>
          <formula1>"TRUE,FALSE"</formula1>
        </mc:Fallback>
      </mc:AlternateContent>
    </dataValidation>
    <dataValidation type="list" allowBlank="1" showInputMessage="1" sqref="H3" xr:uid="{F9C2ACC3-BD50-4EED-BD0D-6382D262E7A7}">
      <formula1>$Q$1:$Q$2</formula1>
    </dataValidation>
    <dataValidation type="list" allowBlank="1" showInputMessage="1" sqref="L3" xr:uid="{D650D557-3418-4BF8-8F17-FAF92A038117}">
      <formula1>$Q$1:$Q$2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D96BF922-8C6A-476B-93AD-3FB72CDA9876}">
          <x14:formula1>
            <xm:f>categories!$A$2:$A$40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6DA1F-733A-4ECC-98D3-95A1005A55C5}">
  <sheetPr codeName="Tabelle1"/>
  <dimension ref="A1:H40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2.453125" bestFit="1" customWidth="1"/>
    <col min="2" max="2" width="7.54296875" bestFit="1" customWidth="1"/>
    <col min="3" max="3" width="12" bestFit="1" customWidth="1"/>
    <col min="4" max="4" width="10.453125" bestFit="1" customWidth="1"/>
    <col min="5" max="5" width="10.26953125" bestFit="1" customWidth="1"/>
    <col min="6" max="6" width="19.7265625" bestFit="1" customWidth="1"/>
    <col min="7" max="7" width="14.54296875" bestFit="1" customWidth="1"/>
    <col min="8" max="8" width="20" bestFit="1" customWidth="1"/>
  </cols>
  <sheetData>
    <row r="1" spans="1:8" x14ac:dyDescent="0.35">
      <c r="A1" s="2" t="s">
        <v>0</v>
      </c>
      <c r="B1" s="2" t="s">
        <v>46</v>
      </c>
      <c r="C1" s="2" t="s">
        <v>47</v>
      </c>
      <c r="D1" s="2" t="s">
        <v>48</v>
      </c>
      <c r="E1" s="2" t="s">
        <v>49</v>
      </c>
      <c r="F1" s="2" t="s">
        <v>50</v>
      </c>
      <c r="G1" s="2" t="s">
        <v>51</v>
      </c>
      <c r="H1" s="2" t="s">
        <v>52</v>
      </c>
    </row>
    <row r="2" spans="1:8" x14ac:dyDescent="0.35">
      <c r="A2" t="s">
        <v>7</v>
      </c>
      <c r="B2" s="7">
        <v>10</v>
      </c>
      <c r="C2" s="7">
        <v>10</v>
      </c>
      <c r="D2" s="7">
        <v>38</v>
      </c>
      <c r="E2" s="7">
        <v>10</v>
      </c>
      <c r="F2" s="7">
        <v>10</v>
      </c>
      <c r="G2" s="7">
        <v>10</v>
      </c>
      <c r="H2" s="7">
        <v>10</v>
      </c>
    </row>
    <row r="3" spans="1:8" x14ac:dyDescent="0.35">
      <c r="A3" t="s">
        <v>8</v>
      </c>
      <c r="B3" s="7">
        <v>10</v>
      </c>
      <c r="C3" s="7">
        <v>10</v>
      </c>
      <c r="D3" s="7">
        <v>10</v>
      </c>
      <c r="E3" s="7">
        <v>10</v>
      </c>
      <c r="F3" s="7">
        <v>10</v>
      </c>
      <c r="G3" s="7">
        <v>10</v>
      </c>
      <c r="H3" s="7">
        <v>10</v>
      </c>
    </row>
    <row r="4" spans="1:8" x14ac:dyDescent="0.35">
      <c r="A4" t="s">
        <v>9</v>
      </c>
      <c r="B4" s="7">
        <v>10</v>
      </c>
      <c r="C4" s="7">
        <v>10</v>
      </c>
      <c r="D4" s="7">
        <v>50</v>
      </c>
      <c r="E4" s="7">
        <v>10</v>
      </c>
      <c r="F4" s="7">
        <v>10</v>
      </c>
      <c r="G4" s="7">
        <v>10</v>
      </c>
      <c r="H4" s="7">
        <v>10</v>
      </c>
    </row>
    <row r="5" spans="1:8" x14ac:dyDescent="0.35">
      <c r="A5" t="s">
        <v>10</v>
      </c>
      <c r="B5" s="7">
        <v>10</v>
      </c>
      <c r="C5" s="7">
        <v>10</v>
      </c>
      <c r="D5" s="7">
        <v>30</v>
      </c>
      <c r="E5" s="7">
        <v>10</v>
      </c>
      <c r="F5" s="7">
        <v>10</v>
      </c>
      <c r="G5" s="7">
        <v>10</v>
      </c>
      <c r="H5" s="7">
        <v>10</v>
      </c>
    </row>
    <row r="6" spans="1:8" x14ac:dyDescent="0.35">
      <c r="A6" t="s">
        <v>11</v>
      </c>
      <c r="B6" s="7">
        <v>10</v>
      </c>
      <c r="C6" s="7">
        <v>10</v>
      </c>
      <c r="D6" s="7">
        <v>10</v>
      </c>
      <c r="E6" s="7">
        <v>10</v>
      </c>
      <c r="F6" s="7">
        <v>10</v>
      </c>
      <c r="G6" s="7">
        <v>10</v>
      </c>
      <c r="H6" s="7">
        <v>10</v>
      </c>
    </row>
    <row r="7" spans="1:8" x14ac:dyDescent="0.35">
      <c r="A7" t="s">
        <v>12</v>
      </c>
      <c r="B7" s="7">
        <v>10</v>
      </c>
      <c r="C7" s="7">
        <v>10</v>
      </c>
      <c r="D7" s="7">
        <v>40</v>
      </c>
      <c r="E7" s="7">
        <v>10</v>
      </c>
      <c r="F7" s="7">
        <v>10</v>
      </c>
      <c r="G7" s="7">
        <v>10</v>
      </c>
      <c r="H7" s="7">
        <v>40</v>
      </c>
    </row>
    <row r="8" spans="1:8" x14ac:dyDescent="0.35">
      <c r="A8" t="s">
        <v>13</v>
      </c>
      <c r="B8" s="7">
        <v>10</v>
      </c>
      <c r="C8" s="7">
        <v>10</v>
      </c>
      <c r="D8" s="7">
        <v>10</v>
      </c>
      <c r="E8" s="7">
        <v>10</v>
      </c>
      <c r="F8" s="7">
        <v>10</v>
      </c>
      <c r="G8" s="7">
        <v>10</v>
      </c>
      <c r="H8" s="7">
        <v>100</v>
      </c>
    </row>
    <row r="9" spans="1:8" x14ac:dyDescent="0.35">
      <c r="A9" t="s">
        <v>14</v>
      </c>
      <c r="B9" s="7">
        <v>10</v>
      </c>
      <c r="C9" s="7">
        <v>0</v>
      </c>
      <c r="D9" s="7">
        <v>500</v>
      </c>
      <c r="E9" s="7">
        <v>10</v>
      </c>
      <c r="F9" s="7">
        <v>10</v>
      </c>
      <c r="G9" s="7">
        <v>10</v>
      </c>
      <c r="H9" s="7">
        <v>500</v>
      </c>
    </row>
    <row r="10" spans="1:8" x14ac:dyDescent="0.35">
      <c r="A10" t="s">
        <v>15</v>
      </c>
      <c r="B10" s="7">
        <v>10</v>
      </c>
      <c r="C10" s="7">
        <v>10</v>
      </c>
      <c r="D10" s="7">
        <v>10</v>
      </c>
      <c r="E10" s="7">
        <v>10</v>
      </c>
      <c r="F10" s="7">
        <v>10</v>
      </c>
      <c r="G10" s="7">
        <v>10</v>
      </c>
      <c r="H10" s="7">
        <v>10</v>
      </c>
    </row>
    <row r="11" spans="1:8" x14ac:dyDescent="0.35">
      <c r="A11" t="s">
        <v>16</v>
      </c>
      <c r="B11" s="7">
        <v>10</v>
      </c>
      <c r="C11" s="7">
        <v>10</v>
      </c>
      <c r="D11" s="7">
        <v>40</v>
      </c>
      <c r="E11" s="7">
        <v>10</v>
      </c>
      <c r="F11" s="7">
        <v>10</v>
      </c>
      <c r="G11" s="7">
        <v>10</v>
      </c>
      <c r="H11" s="7">
        <v>10</v>
      </c>
    </row>
    <row r="12" spans="1:8" x14ac:dyDescent="0.35">
      <c r="A12" t="s">
        <v>17</v>
      </c>
      <c r="B12" s="7">
        <v>10</v>
      </c>
      <c r="C12" s="7">
        <v>43</v>
      </c>
      <c r="D12" s="7">
        <v>10</v>
      </c>
      <c r="E12" s="7">
        <v>10</v>
      </c>
      <c r="F12" s="7">
        <v>10</v>
      </c>
      <c r="G12" s="7">
        <v>10</v>
      </c>
      <c r="H12" s="7">
        <v>10</v>
      </c>
    </row>
    <row r="13" spans="1:8" x14ac:dyDescent="0.35">
      <c r="A13" t="s">
        <v>18</v>
      </c>
      <c r="B13" s="7">
        <v>10</v>
      </c>
      <c r="C13" s="7">
        <v>10</v>
      </c>
      <c r="D13" s="7">
        <v>40</v>
      </c>
      <c r="E13" s="7">
        <v>10</v>
      </c>
      <c r="F13" s="7">
        <v>10</v>
      </c>
      <c r="G13" s="7">
        <v>10</v>
      </c>
      <c r="H13" s="7">
        <v>10</v>
      </c>
    </row>
    <row r="14" spans="1:8" x14ac:dyDescent="0.35">
      <c r="A14" t="s">
        <v>19</v>
      </c>
      <c r="B14" s="7">
        <v>10</v>
      </c>
      <c r="C14" s="7">
        <v>10</v>
      </c>
      <c r="D14" s="7">
        <v>10</v>
      </c>
      <c r="E14" s="7">
        <v>10</v>
      </c>
      <c r="F14" s="7">
        <v>10</v>
      </c>
      <c r="G14" s="7">
        <v>10</v>
      </c>
      <c r="H14" s="7">
        <v>10</v>
      </c>
    </row>
    <row r="15" spans="1:8" x14ac:dyDescent="0.35">
      <c r="A15" t="s">
        <v>20</v>
      </c>
      <c r="B15" s="7">
        <v>50</v>
      </c>
      <c r="C15" s="7">
        <v>10</v>
      </c>
      <c r="D15" s="7">
        <v>50</v>
      </c>
      <c r="E15" s="7">
        <v>10</v>
      </c>
      <c r="F15" s="7">
        <v>10</v>
      </c>
      <c r="G15" s="7">
        <v>10</v>
      </c>
      <c r="H15" s="7">
        <v>10</v>
      </c>
    </row>
    <row r="16" spans="1:8" x14ac:dyDescent="0.35">
      <c r="A16" t="s">
        <v>21</v>
      </c>
      <c r="B16" s="7">
        <v>10</v>
      </c>
      <c r="C16" s="7">
        <v>10</v>
      </c>
      <c r="D16" s="7">
        <v>10</v>
      </c>
      <c r="E16" s="7">
        <v>10</v>
      </c>
      <c r="F16" s="7">
        <v>10</v>
      </c>
      <c r="G16" s="7">
        <v>10</v>
      </c>
      <c r="H16" s="7">
        <v>40</v>
      </c>
    </row>
    <row r="17" spans="1:8" x14ac:dyDescent="0.35">
      <c r="A17" t="s">
        <v>22</v>
      </c>
      <c r="B17" s="7">
        <v>10</v>
      </c>
      <c r="C17" s="7">
        <v>10</v>
      </c>
      <c r="D17" s="7">
        <v>10</v>
      </c>
      <c r="E17" s="7">
        <v>10</v>
      </c>
      <c r="F17" s="7">
        <v>10</v>
      </c>
      <c r="G17" s="7">
        <v>10</v>
      </c>
      <c r="H17" s="7">
        <v>10</v>
      </c>
    </row>
    <row r="18" spans="1:8" x14ac:dyDescent="0.35">
      <c r="A18" t="s">
        <v>23</v>
      </c>
      <c r="B18" s="7">
        <v>10</v>
      </c>
      <c r="C18" s="7">
        <v>10</v>
      </c>
      <c r="D18" s="7">
        <v>10</v>
      </c>
      <c r="E18" s="7">
        <v>40</v>
      </c>
      <c r="F18" s="7">
        <v>10</v>
      </c>
      <c r="G18" s="7">
        <v>10</v>
      </c>
      <c r="H18" s="7">
        <v>40</v>
      </c>
    </row>
    <row r="19" spans="1:8" x14ac:dyDescent="0.35">
      <c r="A19" t="s">
        <v>24</v>
      </c>
      <c r="B19" s="7">
        <v>15</v>
      </c>
      <c r="C19" s="7">
        <v>5</v>
      </c>
      <c r="D19" s="7">
        <v>10</v>
      </c>
      <c r="E19" s="7">
        <v>10</v>
      </c>
      <c r="F19" s="7">
        <v>10</v>
      </c>
      <c r="G19" s="7">
        <v>10</v>
      </c>
      <c r="H19" s="7">
        <v>10</v>
      </c>
    </row>
    <row r="20" spans="1:8" x14ac:dyDescent="0.35">
      <c r="A20" t="s">
        <v>25</v>
      </c>
      <c r="B20" s="7">
        <v>60</v>
      </c>
      <c r="C20" s="7">
        <v>10</v>
      </c>
      <c r="D20" s="7">
        <v>10</v>
      </c>
      <c r="E20" s="7">
        <v>60</v>
      </c>
      <c r="F20" s="7">
        <v>10</v>
      </c>
      <c r="G20" s="7">
        <v>50</v>
      </c>
      <c r="H20" s="7">
        <v>50</v>
      </c>
    </row>
    <row r="21" spans="1:8" x14ac:dyDescent="0.35">
      <c r="A21" t="s">
        <v>26</v>
      </c>
      <c r="B21" s="7">
        <v>10</v>
      </c>
      <c r="C21" s="7">
        <v>30</v>
      </c>
      <c r="D21" s="7">
        <v>30</v>
      </c>
      <c r="E21" s="7">
        <v>150</v>
      </c>
      <c r="F21" s="7">
        <v>100</v>
      </c>
      <c r="G21" s="7">
        <v>10</v>
      </c>
      <c r="H21" s="7">
        <v>100</v>
      </c>
    </row>
    <row r="22" spans="1:8" x14ac:dyDescent="0.35">
      <c r="A22" t="s">
        <v>27</v>
      </c>
      <c r="B22" s="7">
        <v>10</v>
      </c>
      <c r="C22" s="7">
        <v>10</v>
      </c>
      <c r="D22" s="7">
        <v>10</v>
      </c>
      <c r="E22" s="7">
        <v>10</v>
      </c>
      <c r="F22" s="7">
        <v>10</v>
      </c>
      <c r="G22" s="7">
        <v>10</v>
      </c>
      <c r="H22" s="7">
        <v>10</v>
      </c>
    </row>
    <row r="23" spans="1:8" x14ac:dyDescent="0.35">
      <c r="A23" t="s">
        <v>28</v>
      </c>
      <c r="B23" s="7">
        <v>10</v>
      </c>
      <c r="C23" s="7">
        <v>10</v>
      </c>
      <c r="D23" s="7">
        <v>10</v>
      </c>
      <c r="E23" s="7">
        <v>10</v>
      </c>
      <c r="F23" s="7">
        <v>10</v>
      </c>
      <c r="G23" s="7">
        <v>10</v>
      </c>
      <c r="H23" s="7">
        <v>10</v>
      </c>
    </row>
    <row r="24" spans="1:8" x14ac:dyDescent="0.35">
      <c r="A24" t="s">
        <v>29</v>
      </c>
      <c r="B24" s="7">
        <v>10</v>
      </c>
      <c r="C24" s="7">
        <v>10</v>
      </c>
      <c r="D24" s="7">
        <v>10</v>
      </c>
      <c r="E24" s="7">
        <v>10</v>
      </c>
      <c r="F24" s="7">
        <v>10</v>
      </c>
      <c r="G24" s="7">
        <v>10</v>
      </c>
      <c r="H24" s="7">
        <v>10</v>
      </c>
    </row>
    <row r="25" spans="1:8" x14ac:dyDescent="0.35">
      <c r="A25" t="s">
        <v>30</v>
      </c>
      <c r="B25" s="7">
        <v>10</v>
      </c>
      <c r="C25" s="7">
        <v>10</v>
      </c>
      <c r="D25" s="7">
        <v>40</v>
      </c>
      <c r="E25" s="7">
        <v>10</v>
      </c>
      <c r="F25" s="7">
        <v>10</v>
      </c>
      <c r="G25" s="7">
        <v>10</v>
      </c>
      <c r="H25" s="7">
        <v>10</v>
      </c>
    </row>
    <row r="26" spans="1:8" x14ac:dyDescent="0.35">
      <c r="A26" t="s">
        <v>31</v>
      </c>
      <c r="B26" s="7">
        <v>10</v>
      </c>
      <c r="C26" s="7">
        <v>10</v>
      </c>
      <c r="D26" s="7">
        <v>10</v>
      </c>
      <c r="E26" s="7">
        <v>10</v>
      </c>
      <c r="F26" s="7">
        <v>10</v>
      </c>
      <c r="G26" s="7">
        <v>10</v>
      </c>
      <c r="H26" s="7">
        <v>10</v>
      </c>
    </row>
    <row r="27" spans="1:8" x14ac:dyDescent="0.35">
      <c r="A27" t="s">
        <v>32</v>
      </c>
      <c r="B27" s="7">
        <v>10</v>
      </c>
      <c r="C27" s="7">
        <v>10</v>
      </c>
      <c r="D27" s="7">
        <v>20</v>
      </c>
      <c r="E27" s="7">
        <v>20</v>
      </c>
      <c r="F27" s="7">
        <v>20</v>
      </c>
      <c r="G27" s="7">
        <v>20</v>
      </c>
      <c r="H27" s="7">
        <v>20</v>
      </c>
    </row>
    <row r="28" spans="1:8" x14ac:dyDescent="0.35">
      <c r="A28" t="s">
        <v>33</v>
      </c>
      <c r="B28" s="7">
        <v>10</v>
      </c>
      <c r="C28" s="7">
        <v>10</v>
      </c>
      <c r="D28" s="7">
        <v>18</v>
      </c>
      <c r="E28" s="7">
        <v>10</v>
      </c>
      <c r="F28" s="7">
        <v>10</v>
      </c>
      <c r="G28" s="7">
        <v>28</v>
      </c>
      <c r="H28" s="7">
        <v>10</v>
      </c>
    </row>
    <row r="29" spans="1:8" x14ac:dyDescent="0.35">
      <c r="A29" t="s">
        <v>34</v>
      </c>
      <c r="B29" s="7">
        <v>10</v>
      </c>
      <c r="C29" s="7">
        <v>10</v>
      </c>
      <c r="D29" s="7">
        <v>10</v>
      </c>
      <c r="E29" s="7">
        <v>30</v>
      </c>
      <c r="F29" s="7">
        <v>10</v>
      </c>
      <c r="G29" s="7">
        <v>10</v>
      </c>
      <c r="H29" s="7">
        <v>10</v>
      </c>
    </row>
    <row r="30" spans="1:8" x14ac:dyDescent="0.35">
      <c r="A30" t="s">
        <v>35</v>
      </c>
      <c r="B30" s="7">
        <v>10</v>
      </c>
      <c r="C30" s="7">
        <v>10</v>
      </c>
      <c r="D30" s="7">
        <v>30</v>
      </c>
      <c r="E30" s="7">
        <v>10</v>
      </c>
      <c r="F30" s="7">
        <v>10</v>
      </c>
      <c r="G30" s="7">
        <v>10</v>
      </c>
      <c r="H30" s="7">
        <v>10</v>
      </c>
    </row>
    <row r="31" spans="1:8" x14ac:dyDescent="0.35">
      <c r="A31" t="s">
        <v>36</v>
      </c>
      <c r="B31" s="7">
        <v>50</v>
      </c>
      <c r="C31" s="7">
        <v>10</v>
      </c>
      <c r="D31" s="7">
        <v>10</v>
      </c>
      <c r="E31" s="7">
        <v>10</v>
      </c>
      <c r="F31" s="7">
        <v>10</v>
      </c>
      <c r="G31" s="7">
        <v>10</v>
      </c>
      <c r="H31" s="7">
        <v>40</v>
      </c>
    </row>
    <row r="32" spans="1:8" x14ac:dyDescent="0.35">
      <c r="A32" t="s">
        <v>37</v>
      </c>
      <c r="B32" s="7">
        <v>10</v>
      </c>
      <c r="C32" s="7">
        <v>5</v>
      </c>
      <c r="D32" s="7">
        <v>100</v>
      </c>
      <c r="E32" s="7">
        <v>10</v>
      </c>
      <c r="F32" s="7">
        <v>10</v>
      </c>
      <c r="G32" s="7">
        <v>10</v>
      </c>
      <c r="H32" s="7">
        <v>10</v>
      </c>
    </row>
    <row r="33" spans="1:8" x14ac:dyDescent="0.35">
      <c r="A33" t="s">
        <v>38</v>
      </c>
      <c r="B33" s="7">
        <v>10</v>
      </c>
      <c r="C33" s="7">
        <v>10</v>
      </c>
      <c r="D33" s="7">
        <v>30</v>
      </c>
      <c r="E33" s="7">
        <v>10</v>
      </c>
      <c r="F33" s="7">
        <v>10</v>
      </c>
      <c r="G33" s="7">
        <v>10</v>
      </c>
      <c r="H33" s="7">
        <v>10</v>
      </c>
    </row>
    <row r="34" spans="1:8" x14ac:dyDescent="0.35">
      <c r="A34" t="s">
        <v>39</v>
      </c>
      <c r="B34" s="7">
        <v>10</v>
      </c>
      <c r="C34" s="7">
        <v>10</v>
      </c>
      <c r="D34" s="7">
        <v>18</v>
      </c>
      <c r="E34" s="7">
        <v>10</v>
      </c>
      <c r="F34" s="7">
        <v>10</v>
      </c>
      <c r="G34" s="7">
        <v>10</v>
      </c>
      <c r="H34" s="7">
        <v>28</v>
      </c>
    </row>
    <row r="35" spans="1:8" x14ac:dyDescent="0.35">
      <c r="A35" t="s">
        <v>40</v>
      </c>
      <c r="B35" s="7">
        <v>30</v>
      </c>
      <c r="C35" s="7">
        <v>10</v>
      </c>
      <c r="D35" s="7">
        <v>10</v>
      </c>
      <c r="E35" s="7">
        <v>30</v>
      </c>
      <c r="F35" s="7">
        <v>30</v>
      </c>
      <c r="G35" s="7">
        <v>10</v>
      </c>
      <c r="H35" s="7">
        <v>10</v>
      </c>
    </row>
    <row r="36" spans="1:8" x14ac:dyDescent="0.35">
      <c r="A36" t="s">
        <v>41</v>
      </c>
      <c r="B36" s="7">
        <v>10</v>
      </c>
      <c r="C36" s="7">
        <v>10</v>
      </c>
      <c r="D36" s="7">
        <v>10</v>
      </c>
      <c r="E36" s="7">
        <v>10</v>
      </c>
      <c r="F36" s="7">
        <v>10</v>
      </c>
      <c r="G36" s="7">
        <v>10</v>
      </c>
      <c r="H36" s="7">
        <v>10</v>
      </c>
    </row>
    <row r="37" spans="1:8" x14ac:dyDescent="0.35">
      <c r="A37" t="s">
        <v>42</v>
      </c>
      <c r="B37" s="7">
        <v>10</v>
      </c>
      <c r="C37" s="7">
        <v>30</v>
      </c>
      <c r="D37" s="7">
        <v>30</v>
      </c>
      <c r="E37" s="7">
        <v>10</v>
      </c>
      <c r="F37" s="7">
        <v>10</v>
      </c>
      <c r="G37" s="7">
        <v>10</v>
      </c>
      <c r="H37" s="7">
        <v>50</v>
      </c>
    </row>
    <row r="38" spans="1:8" x14ac:dyDescent="0.35">
      <c r="A38" t="s">
        <v>43</v>
      </c>
      <c r="B38" s="7">
        <v>10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</row>
    <row r="39" spans="1:8" x14ac:dyDescent="0.35">
      <c r="A39" t="s">
        <v>44</v>
      </c>
      <c r="B39" s="7">
        <v>10</v>
      </c>
      <c r="C39" s="7">
        <v>10</v>
      </c>
      <c r="D39" s="7">
        <v>10</v>
      </c>
      <c r="E39" s="7">
        <v>10</v>
      </c>
      <c r="F39" s="7">
        <v>10</v>
      </c>
      <c r="G39" s="7">
        <v>10</v>
      </c>
      <c r="H39" s="7">
        <v>10</v>
      </c>
    </row>
    <row r="40" spans="1:8" x14ac:dyDescent="0.35">
      <c r="A40" t="s">
        <v>45</v>
      </c>
      <c r="B40" s="7">
        <v>30</v>
      </c>
      <c r="C40" s="7">
        <v>10</v>
      </c>
      <c r="D40" s="7">
        <v>10</v>
      </c>
      <c r="E40" s="7">
        <v>10</v>
      </c>
      <c r="F40" s="7">
        <v>10</v>
      </c>
      <c r="G40" s="7">
        <v>10</v>
      </c>
      <c r="H40" s="7">
        <v>10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4A60-01AA-4FC6-B1CF-6624A58D6F60}">
  <sheetPr codeName="Tabelle2"/>
  <dimension ref="A1:AW40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2.453125" bestFit="1" customWidth="1"/>
    <col min="2" max="2" width="16.54296875" bestFit="1" customWidth="1"/>
    <col min="3" max="3" width="15.36328125" bestFit="1" customWidth="1"/>
    <col min="4" max="4" width="22" bestFit="1" customWidth="1"/>
    <col min="5" max="5" width="20.90625" bestFit="1" customWidth="1"/>
    <col min="6" max="6" width="13.54296875" bestFit="1" customWidth="1"/>
    <col min="7" max="7" width="12.81640625" bestFit="1" customWidth="1"/>
    <col min="8" max="8" width="18.26953125" bestFit="1" customWidth="1"/>
    <col min="9" max="9" width="13.1796875" bestFit="1" customWidth="1"/>
    <col min="10" max="10" width="11.90625" bestFit="1" customWidth="1"/>
    <col min="11" max="11" width="15.1796875" bestFit="1" customWidth="1"/>
    <col min="12" max="12" width="32.6328125" bestFit="1" customWidth="1"/>
    <col min="13" max="13" width="23.08984375" bestFit="1" customWidth="1"/>
    <col min="14" max="14" width="17.453125" bestFit="1" customWidth="1"/>
    <col min="15" max="15" width="17.7265625" bestFit="1" customWidth="1"/>
    <col min="16" max="16" width="11.81640625" bestFit="1" customWidth="1"/>
    <col min="17" max="17" width="13.6328125" bestFit="1" customWidth="1"/>
    <col min="18" max="18" width="14.26953125" bestFit="1" customWidth="1"/>
    <col min="19" max="19" width="17.26953125" bestFit="1" customWidth="1"/>
    <col min="20" max="20" width="11.7265625" bestFit="1" customWidth="1"/>
    <col min="21" max="21" width="15.1796875" bestFit="1" customWidth="1"/>
    <col min="22" max="22" width="9.6328125" bestFit="1" customWidth="1"/>
    <col min="23" max="23" width="15.26953125" bestFit="1" customWidth="1"/>
    <col min="24" max="24" width="12.1796875" bestFit="1" customWidth="1"/>
    <col min="25" max="25" width="16.36328125" bestFit="1" customWidth="1"/>
    <col min="26" max="26" width="19.26953125" bestFit="1" customWidth="1"/>
    <col min="27" max="27" width="13.1796875" bestFit="1" customWidth="1"/>
    <col min="28" max="28" width="12" bestFit="1" customWidth="1"/>
    <col min="29" max="29" width="25.7265625" bestFit="1" customWidth="1"/>
    <col min="30" max="30" width="16" bestFit="1" customWidth="1"/>
    <col min="31" max="31" width="11.7265625" bestFit="1" customWidth="1"/>
    <col min="32" max="32" width="10.6328125" bestFit="1" customWidth="1"/>
    <col min="33" max="33" width="15.453125" bestFit="1" customWidth="1"/>
    <col min="34" max="34" width="20.6328125" bestFit="1" customWidth="1"/>
    <col min="35" max="35" width="22.7265625" bestFit="1" customWidth="1"/>
    <col min="36" max="37" width="15.90625" bestFit="1" customWidth="1"/>
    <col min="38" max="38" width="14.08984375" bestFit="1" customWidth="1"/>
    <col min="39" max="39" width="10.08984375" bestFit="1" customWidth="1"/>
    <col min="40" max="40" width="10.453125" bestFit="1" customWidth="1"/>
    <col min="41" max="41" width="12.26953125" bestFit="1" customWidth="1"/>
    <col min="42" max="42" width="18.08984375" bestFit="1" customWidth="1"/>
    <col min="43" max="43" width="19.81640625" bestFit="1" customWidth="1"/>
    <col min="44" max="44" width="10.26953125" bestFit="1" customWidth="1"/>
    <col min="45" max="45" width="17.1796875" bestFit="1" customWidth="1"/>
    <col min="46" max="46" width="14.453125" bestFit="1" customWidth="1"/>
    <col min="47" max="48" width="16.08984375" bestFit="1" customWidth="1"/>
    <col min="49" max="49" width="14.26953125" bestFit="1" customWidth="1"/>
  </cols>
  <sheetData>
    <row r="1" spans="1:49" x14ac:dyDescent="0.35">
      <c r="A1" s="2" t="s">
        <v>0</v>
      </c>
      <c r="B1" s="2" t="s">
        <v>53</v>
      </c>
      <c r="C1" s="2" t="s">
        <v>54</v>
      </c>
      <c r="D1" s="2" t="s">
        <v>55</v>
      </c>
      <c r="E1" s="2" t="s">
        <v>56</v>
      </c>
      <c r="F1" s="2" t="s">
        <v>57</v>
      </c>
      <c r="G1" s="2" t="s">
        <v>58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2" t="s">
        <v>65</v>
      </c>
      <c r="O1" s="2" t="s">
        <v>66</v>
      </c>
      <c r="P1" s="2" t="s">
        <v>67</v>
      </c>
      <c r="Q1" s="2" t="s">
        <v>68</v>
      </c>
      <c r="R1" s="2" t="s">
        <v>69</v>
      </c>
      <c r="S1" s="2" t="s">
        <v>70</v>
      </c>
      <c r="T1" s="2" t="s">
        <v>71</v>
      </c>
      <c r="U1" s="2" t="s">
        <v>72</v>
      </c>
      <c r="V1" s="2" t="s">
        <v>73</v>
      </c>
      <c r="W1" s="2" t="s">
        <v>74</v>
      </c>
      <c r="X1" s="2" t="s">
        <v>75</v>
      </c>
      <c r="Y1" s="2" t="s">
        <v>76</v>
      </c>
      <c r="Z1" s="2" t="s">
        <v>77</v>
      </c>
      <c r="AA1" s="2" t="s">
        <v>78</v>
      </c>
      <c r="AB1" s="2" t="s">
        <v>79</v>
      </c>
      <c r="AC1" s="2" t="s">
        <v>80</v>
      </c>
      <c r="AD1" s="2" t="s">
        <v>81</v>
      </c>
      <c r="AE1" s="2" t="s">
        <v>82</v>
      </c>
      <c r="AF1" s="2" t="s">
        <v>83</v>
      </c>
      <c r="AG1" s="2" t="s">
        <v>84</v>
      </c>
      <c r="AH1" s="2" t="s">
        <v>85</v>
      </c>
      <c r="AI1" s="2" t="s">
        <v>86</v>
      </c>
      <c r="AJ1" s="2" t="s">
        <v>87</v>
      </c>
      <c r="AK1" s="2" t="s">
        <v>88</v>
      </c>
      <c r="AL1" s="2" t="s">
        <v>89</v>
      </c>
      <c r="AM1" s="2" t="s">
        <v>90</v>
      </c>
      <c r="AN1" s="2" t="s">
        <v>48</v>
      </c>
      <c r="AO1" s="2" t="s">
        <v>91</v>
      </c>
      <c r="AP1" s="2" t="s">
        <v>92</v>
      </c>
      <c r="AQ1" s="2" t="s">
        <v>93</v>
      </c>
      <c r="AR1" s="2" t="s">
        <v>94</v>
      </c>
      <c r="AS1" s="2" t="s">
        <v>95</v>
      </c>
      <c r="AT1" s="2" t="s">
        <v>96</v>
      </c>
      <c r="AU1" s="2" t="s">
        <v>97</v>
      </c>
      <c r="AV1" s="2" t="s">
        <v>98</v>
      </c>
      <c r="AW1" s="2" t="s">
        <v>99</v>
      </c>
    </row>
    <row r="2" spans="1:49" x14ac:dyDescent="0.35">
      <c r="A2" t="s">
        <v>7</v>
      </c>
      <c r="B2" s="7">
        <v>10</v>
      </c>
      <c r="C2" s="7">
        <v>40</v>
      </c>
      <c r="D2" s="7">
        <v>10</v>
      </c>
      <c r="E2" s="7">
        <v>10</v>
      </c>
      <c r="F2" s="7">
        <v>10</v>
      </c>
      <c r="G2" s="7">
        <v>25</v>
      </c>
      <c r="H2" s="7">
        <v>40</v>
      </c>
      <c r="I2" s="7">
        <v>10</v>
      </c>
      <c r="J2" s="7">
        <v>10</v>
      </c>
      <c r="K2" s="7">
        <v>10</v>
      </c>
      <c r="L2" s="7">
        <v>10</v>
      </c>
      <c r="M2" s="7">
        <v>10</v>
      </c>
      <c r="N2" s="7">
        <v>10</v>
      </c>
      <c r="O2" s="7">
        <v>10</v>
      </c>
      <c r="P2" s="7">
        <v>26</v>
      </c>
      <c r="Q2" s="7">
        <v>26</v>
      </c>
      <c r="R2" s="7">
        <v>10</v>
      </c>
      <c r="S2" s="7">
        <v>10</v>
      </c>
      <c r="T2" s="7">
        <v>10</v>
      </c>
      <c r="U2" s="7">
        <v>10</v>
      </c>
      <c r="V2" s="7">
        <v>40</v>
      </c>
      <c r="W2" s="7">
        <v>25</v>
      </c>
      <c r="X2" s="7">
        <v>30</v>
      </c>
      <c r="Y2" s="7">
        <v>16</v>
      </c>
      <c r="Z2" s="7">
        <v>10</v>
      </c>
      <c r="AA2" s="7">
        <v>40</v>
      </c>
      <c r="AB2" s="7">
        <v>15</v>
      </c>
      <c r="AC2" s="7">
        <v>10</v>
      </c>
      <c r="AD2" s="7">
        <v>10</v>
      </c>
      <c r="AE2" s="7">
        <v>10</v>
      </c>
      <c r="AF2" s="7">
        <v>25</v>
      </c>
      <c r="AG2" s="7">
        <v>40</v>
      </c>
      <c r="AH2" s="7">
        <v>10</v>
      </c>
      <c r="AI2" s="7">
        <v>10</v>
      </c>
      <c r="AJ2" s="7">
        <v>10</v>
      </c>
      <c r="AK2" s="7">
        <v>40</v>
      </c>
      <c r="AL2" s="7">
        <v>10</v>
      </c>
      <c r="AM2" s="7">
        <v>10</v>
      </c>
      <c r="AN2" s="7">
        <v>32</v>
      </c>
      <c r="AO2" s="7">
        <v>14</v>
      </c>
      <c r="AP2" s="7">
        <v>10</v>
      </c>
      <c r="AQ2" s="7">
        <v>10</v>
      </c>
      <c r="AR2" s="7">
        <v>10</v>
      </c>
      <c r="AS2" s="7">
        <v>40</v>
      </c>
      <c r="AT2" s="7">
        <v>25</v>
      </c>
      <c r="AU2" s="7">
        <v>10</v>
      </c>
      <c r="AV2" s="7">
        <v>40</v>
      </c>
      <c r="AW2" s="7">
        <v>30</v>
      </c>
    </row>
    <row r="3" spans="1:49" x14ac:dyDescent="0.35">
      <c r="A3" t="s">
        <v>8</v>
      </c>
      <c r="B3" s="7">
        <v>10</v>
      </c>
      <c r="C3" s="7">
        <v>10</v>
      </c>
      <c r="D3" s="7">
        <v>10</v>
      </c>
      <c r="E3" s="7">
        <v>10</v>
      </c>
      <c r="F3" s="7">
        <v>10</v>
      </c>
      <c r="G3" s="7">
        <v>10</v>
      </c>
      <c r="H3" s="7">
        <v>10</v>
      </c>
      <c r="I3" s="7">
        <v>10</v>
      </c>
      <c r="J3" s="7">
        <v>10</v>
      </c>
      <c r="K3" s="7">
        <v>10</v>
      </c>
      <c r="L3" s="7">
        <v>10</v>
      </c>
      <c r="M3" s="7">
        <v>10</v>
      </c>
      <c r="N3" s="7">
        <v>10</v>
      </c>
      <c r="O3" s="7">
        <v>10</v>
      </c>
      <c r="P3" s="7">
        <v>10</v>
      </c>
      <c r="Q3" s="7">
        <v>10</v>
      </c>
      <c r="R3" s="7">
        <v>10</v>
      </c>
      <c r="S3" s="7">
        <v>10</v>
      </c>
      <c r="T3" s="7">
        <v>10</v>
      </c>
      <c r="U3" s="7">
        <v>10</v>
      </c>
      <c r="V3" s="7">
        <v>10</v>
      </c>
      <c r="W3" s="7">
        <v>10</v>
      </c>
      <c r="X3" s="7">
        <v>10</v>
      </c>
      <c r="Y3" s="7">
        <v>10</v>
      </c>
      <c r="Z3" s="7">
        <v>10</v>
      </c>
      <c r="AA3" s="7">
        <v>10</v>
      </c>
      <c r="AB3" s="7">
        <v>10</v>
      </c>
      <c r="AC3" s="7">
        <v>10</v>
      </c>
      <c r="AD3" s="7">
        <v>10</v>
      </c>
      <c r="AE3" s="7">
        <v>10</v>
      </c>
      <c r="AF3" s="7">
        <v>10</v>
      </c>
      <c r="AG3" s="7">
        <v>10</v>
      </c>
      <c r="AH3" s="7">
        <v>10</v>
      </c>
      <c r="AI3" s="7">
        <v>10</v>
      </c>
      <c r="AJ3" s="7">
        <v>10</v>
      </c>
      <c r="AK3" s="7">
        <v>10</v>
      </c>
      <c r="AL3" s="7">
        <v>10</v>
      </c>
      <c r="AM3" s="7">
        <v>10</v>
      </c>
      <c r="AN3" s="7">
        <v>10</v>
      </c>
      <c r="AO3" s="7">
        <v>10</v>
      </c>
      <c r="AP3" s="7">
        <v>10</v>
      </c>
      <c r="AQ3" s="7">
        <v>10</v>
      </c>
      <c r="AR3" s="7">
        <v>10</v>
      </c>
      <c r="AS3" s="7">
        <v>10</v>
      </c>
      <c r="AT3" s="7">
        <v>10</v>
      </c>
      <c r="AU3" s="7">
        <v>10</v>
      </c>
      <c r="AV3" s="7">
        <v>10</v>
      </c>
      <c r="AW3" s="7">
        <v>10</v>
      </c>
    </row>
    <row r="4" spans="1:49" x14ac:dyDescent="0.35">
      <c r="A4" t="s">
        <v>9</v>
      </c>
      <c r="B4" s="7">
        <v>10</v>
      </c>
      <c r="C4" s="7">
        <v>10</v>
      </c>
      <c r="D4" s="7">
        <v>10</v>
      </c>
      <c r="E4" s="7">
        <v>10</v>
      </c>
      <c r="F4" s="7">
        <v>10</v>
      </c>
      <c r="G4" s="7">
        <v>10</v>
      </c>
      <c r="H4" s="7">
        <v>10</v>
      </c>
      <c r="I4" s="7">
        <v>40</v>
      </c>
      <c r="J4" s="7">
        <v>10</v>
      </c>
      <c r="K4" s="7">
        <v>10</v>
      </c>
      <c r="L4" s="7">
        <v>10</v>
      </c>
      <c r="M4" s="7">
        <v>10</v>
      </c>
      <c r="N4" s="7">
        <v>10</v>
      </c>
      <c r="O4" s="7">
        <v>10</v>
      </c>
      <c r="P4" s="7">
        <v>10</v>
      </c>
      <c r="Q4" s="7">
        <v>10</v>
      </c>
      <c r="R4" s="7">
        <v>10</v>
      </c>
      <c r="S4" s="7">
        <v>10</v>
      </c>
      <c r="T4" s="7">
        <v>10</v>
      </c>
      <c r="U4" s="7">
        <v>10</v>
      </c>
      <c r="V4" s="7">
        <v>10</v>
      </c>
      <c r="W4" s="7">
        <v>10</v>
      </c>
      <c r="X4" s="7">
        <v>10</v>
      </c>
      <c r="Y4" s="7">
        <v>10</v>
      </c>
      <c r="Z4" s="7">
        <v>10</v>
      </c>
      <c r="AA4" s="7">
        <v>10</v>
      </c>
      <c r="AB4" s="7">
        <v>10</v>
      </c>
      <c r="AC4" s="7">
        <v>10</v>
      </c>
      <c r="AD4" s="7">
        <v>10</v>
      </c>
      <c r="AE4" s="7">
        <v>10</v>
      </c>
      <c r="AF4" s="7">
        <v>10</v>
      </c>
      <c r="AG4" s="7">
        <v>350</v>
      </c>
      <c r="AH4" s="7">
        <v>10</v>
      </c>
      <c r="AI4" s="7">
        <v>10</v>
      </c>
      <c r="AJ4" s="7">
        <v>10</v>
      </c>
      <c r="AK4" s="7">
        <v>10</v>
      </c>
      <c r="AL4" s="7">
        <v>10</v>
      </c>
      <c r="AM4" s="7">
        <v>10</v>
      </c>
      <c r="AN4" s="7">
        <v>160</v>
      </c>
      <c r="AO4" s="7">
        <v>10</v>
      </c>
      <c r="AP4" s="7">
        <v>10</v>
      </c>
      <c r="AQ4" s="7">
        <v>10</v>
      </c>
      <c r="AR4" s="7">
        <v>10</v>
      </c>
      <c r="AS4" s="7">
        <v>10</v>
      </c>
      <c r="AT4" s="7">
        <v>10</v>
      </c>
      <c r="AU4" s="7">
        <v>10</v>
      </c>
      <c r="AV4" s="7">
        <v>10</v>
      </c>
      <c r="AW4" s="7">
        <v>10</v>
      </c>
    </row>
    <row r="5" spans="1:49" x14ac:dyDescent="0.35">
      <c r="A5" t="s">
        <v>10</v>
      </c>
      <c r="B5" s="7">
        <v>50</v>
      </c>
      <c r="C5" s="7">
        <v>10</v>
      </c>
      <c r="D5" s="7">
        <v>10</v>
      </c>
      <c r="E5" s="7">
        <v>150</v>
      </c>
      <c r="F5" s="7">
        <v>10</v>
      </c>
      <c r="G5" s="7">
        <v>10</v>
      </c>
      <c r="H5" s="7">
        <v>10</v>
      </c>
      <c r="I5" s="7">
        <v>10</v>
      </c>
      <c r="J5" s="7">
        <v>10</v>
      </c>
      <c r="K5" s="7">
        <v>10</v>
      </c>
      <c r="L5" s="7">
        <v>10</v>
      </c>
      <c r="M5" s="7">
        <v>10</v>
      </c>
      <c r="N5" s="7">
        <v>10</v>
      </c>
      <c r="O5" s="7">
        <v>250</v>
      </c>
      <c r="P5" s="7">
        <v>250</v>
      </c>
      <c r="Q5" s="7">
        <v>10</v>
      </c>
      <c r="R5" s="7">
        <v>10</v>
      </c>
      <c r="S5" s="7">
        <v>10</v>
      </c>
      <c r="T5" s="7">
        <v>10</v>
      </c>
      <c r="U5" s="7">
        <v>10</v>
      </c>
      <c r="V5" s="7">
        <v>10</v>
      </c>
      <c r="W5" s="7">
        <v>10</v>
      </c>
      <c r="X5" s="7">
        <v>10</v>
      </c>
      <c r="Y5" s="7">
        <v>40</v>
      </c>
      <c r="Z5" s="7">
        <v>10</v>
      </c>
      <c r="AA5" s="7">
        <v>10</v>
      </c>
      <c r="AB5" s="7">
        <v>10</v>
      </c>
      <c r="AC5" s="7">
        <v>10</v>
      </c>
      <c r="AD5" s="7">
        <v>10</v>
      </c>
      <c r="AE5" s="7">
        <v>10</v>
      </c>
      <c r="AF5" s="7">
        <v>10</v>
      </c>
      <c r="AG5" s="7">
        <v>10</v>
      </c>
      <c r="AH5" s="7">
        <v>30</v>
      </c>
      <c r="AI5" s="7">
        <v>10</v>
      </c>
      <c r="AJ5" s="7">
        <v>10</v>
      </c>
      <c r="AK5" s="7">
        <v>10</v>
      </c>
      <c r="AL5" s="7">
        <v>10</v>
      </c>
      <c r="AM5" s="7">
        <v>10</v>
      </c>
      <c r="AN5" s="7">
        <v>10</v>
      </c>
      <c r="AO5" s="7">
        <v>10</v>
      </c>
      <c r="AP5" s="7">
        <v>10</v>
      </c>
      <c r="AQ5" s="7">
        <v>10</v>
      </c>
      <c r="AR5" s="7">
        <v>10</v>
      </c>
      <c r="AS5" s="7">
        <v>10</v>
      </c>
      <c r="AT5" s="7">
        <v>10</v>
      </c>
      <c r="AU5" s="7">
        <v>10</v>
      </c>
      <c r="AV5" s="7">
        <v>10</v>
      </c>
      <c r="AW5" s="7">
        <v>10</v>
      </c>
    </row>
    <row r="6" spans="1:49" x14ac:dyDescent="0.35">
      <c r="A6" t="s">
        <v>11</v>
      </c>
      <c r="B6" s="7">
        <v>10</v>
      </c>
      <c r="C6" s="7">
        <v>30</v>
      </c>
      <c r="D6" s="7">
        <v>50</v>
      </c>
      <c r="E6" s="7">
        <v>10</v>
      </c>
      <c r="F6" s="7">
        <v>10</v>
      </c>
      <c r="G6" s="7">
        <v>10</v>
      </c>
      <c r="H6" s="7">
        <v>10</v>
      </c>
      <c r="I6" s="7">
        <v>10</v>
      </c>
      <c r="J6" s="7">
        <v>10</v>
      </c>
      <c r="K6" s="7">
        <v>50</v>
      </c>
      <c r="L6" s="7">
        <v>200</v>
      </c>
      <c r="M6" s="7">
        <v>10</v>
      </c>
      <c r="N6" s="7">
        <v>10</v>
      </c>
      <c r="O6" s="7">
        <v>10</v>
      </c>
      <c r="P6" s="7">
        <v>30</v>
      </c>
      <c r="Q6" s="7">
        <v>10</v>
      </c>
      <c r="R6" s="7">
        <v>10</v>
      </c>
      <c r="S6" s="7">
        <v>10</v>
      </c>
      <c r="T6" s="7">
        <v>10</v>
      </c>
      <c r="U6" s="7">
        <v>10</v>
      </c>
      <c r="V6" s="7">
        <v>10</v>
      </c>
      <c r="W6" s="7">
        <v>10</v>
      </c>
      <c r="X6" s="7">
        <v>20</v>
      </c>
      <c r="Y6" s="7">
        <v>10</v>
      </c>
      <c r="Z6" s="7">
        <v>10</v>
      </c>
      <c r="AA6" s="7">
        <v>10</v>
      </c>
      <c r="AB6" s="7">
        <v>10</v>
      </c>
      <c r="AC6" s="7">
        <v>300</v>
      </c>
      <c r="AD6" s="7">
        <v>10</v>
      </c>
      <c r="AE6" s="7">
        <v>10</v>
      </c>
      <c r="AF6" s="7">
        <v>10</v>
      </c>
      <c r="AG6" s="7">
        <v>400</v>
      </c>
      <c r="AH6" s="7">
        <v>10</v>
      </c>
      <c r="AI6" s="7">
        <v>30</v>
      </c>
      <c r="AJ6" s="7">
        <v>10</v>
      </c>
      <c r="AK6" s="7">
        <v>50</v>
      </c>
      <c r="AL6" s="7">
        <v>10</v>
      </c>
      <c r="AM6" s="7">
        <v>10</v>
      </c>
      <c r="AN6" s="7">
        <v>10</v>
      </c>
      <c r="AO6" s="7">
        <v>10</v>
      </c>
      <c r="AP6" s="7">
        <v>10</v>
      </c>
      <c r="AQ6" s="7">
        <v>10</v>
      </c>
      <c r="AR6" s="7">
        <v>10</v>
      </c>
      <c r="AS6" s="7">
        <v>10</v>
      </c>
      <c r="AT6" s="7">
        <v>10</v>
      </c>
      <c r="AU6" s="7">
        <v>10</v>
      </c>
      <c r="AV6" s="7">
        <v>10</v>
      </c>
      <c r="AW6" s="7">
        <v>200</v>
      </c>
    </row>
    <row r="7" spans="1:49" x14ac:dyDescent="0.35">
      <c r="A7" t="s">
        <v>12</v>
      </c>
      <c r="B7" s="7">
        <v>10</v>
      </c>
      <c r="C7" s="7">
        <v>20</v>
      </c>
      <c r="D7" s="7">
        <v>10</v>
      </c>
      <c r="E7" s="7">
        <v>10</v>
      </c>
      <c r="F7" s="7">
        <v>10</v>
      </c>
      <c r="G7" s="7">
        <v>10</v>
      </c>
      <c r="H7" s="7">
        <v>10</v>
      </c>
      <c r="I7" s="7">
        <v>10</v>
      </c>
      <c r="J7" s="7">
        <v>20</v>
      </c>
      <c r="K7" s="7">
        <v>10</v>
      </c>
      <c r="L7" s="7">
        <v>10</v>
      </c>
      <c r="M7" s="7">
        <v>10</v>
      </c>
      <c r="N7" s="7">
        <v>40</v>
      </c>
      <c r="O7" s="7">
        <v>10</v>
      </c>
      <c r="P7" s="7">
        <v>10</v>
      </c>
      <c r="Q7" s="7">
        <v>10</v>
      </c>
      <c r="R7" s="7">
        <v>10</v>
      </c>
      <c r="S7" s="7">
        <v>10</v>
      </c>
      <c r="T7" s="7">
        <v>10</v>
      </c>
      <c r="U7" s="7">
        <v>10</v>
      </c>
      <c r="V7" s="7">
        <v>30</v>
      </c>
      <c r="W7" s="7">
        <v>30</v>
      </c>
      <c r="X7" s="7">
        <v>10</v>
      </c>
      <c r="Y7" s="7">
        <v>10</v>
      </c>
      <c r="Z7" s="7">
        <v>10</v>
      </c>
      <c r="AA7" s="7">
        <v>50</v>
      </c>
      <c r="AB7" s="7">
        <v>10</v>
      </c>
      <c r="AC7" s="7">
        <v>10</v>
      </c>
      <c r="AD7" s="7">
        <v>10</v>
      </c>
      <c r="AE7" s="7">
        <v>10</v>
      </c>
      <c r="AF7" s="7">
        <v>10</v>
      </c>
      <c r="AG7" s="7">
        <v>10</v>
      </c>
      <c r="AH7" s="7">
        <v>10</v>
      </c>
      <c r="AI7" s="7">
        <v>10</v>
      </c>
      <c r="AJ7" s="7">
        <v>10</v>
      </c>
      <c r="AK7" s="7">
        <v>10</v>
      </c>
      <c r="AL7" s="7">
        <v>10</v>
      </c>
      <c r="AM7" s="7">
        <v>10</v>
      </c>
      <c r="AN7" s="7">
        <v>50</v>
      </c>
      <c r="AO7" s="7">
        <v>10</v>
      </c>
      <c r="AP7" s="7">
        <v>10</v>
      </c>
      <c r="AQ7" s="7">
        <v>10</v>
      </c>
      <c r="AR7" s="7">
        <v>10</v>
      </c>
      <c r="AS7" s="7">
        <v>10</v>
      </c>
      <c r="AT7" s="7">
        <v>10</v>
      </c>
      <c r="AU7" s="7">
        <v>10</v>
      </c>
      <c r="AV7" s="7">
        <v>10</v>
      </c>
      <c r="AW7" s="7">
        <v>10</v>
      </c>
    </row>
    <row r="8" spans="1:49" x14ac:dyDescent="0.35">
      <c r="A8" t="s">
        <v>13</v>
      </c>
      <c r="B8" s="7">
        <v>10</v>
      </c>
      <c r="C8" s="7">
        <v>10</v>
      </c>
      <c r="D8" s="7">
        <v>10</v>
      </c>
      <c r="E8" s="7">
        <v>10</v>
      </c>
      <c r="F8" s="7">
        <v>10</v>
      </c>
      <c r="G8" s="7">
        <v>10</v>
      </c>
      <c r="H8" s="7">
        <v>10</v>
      </c>
      <c r="I8" s="7">
        <v>20</v>
      </c>
      <c r="J8" s="7">
        <v>10</v>
      </c>
      <c r="K8" s="7">
        <v>10</v>
      </c>
      <c r="L8" s="7">
        <v>10</v>
      </c>
      <c r="M8" s="7">
        <v>10</v>
      </c>
      <c r="N8" s="7">
        <v>200</v>
      </c>
      <c r="O8" s="7">
        <v>10</v>
      </c>
      <c r="P8" s="7">
        <v>10</v>
      </c>
      <c r="Q8" s="7">
        <v>10</v>
      </c>
      <c r="R8" s="7">
        <v>10</v>
      </c>
      <c r="S8" s="7">
        <v>10</v>
      </c>
      <c r="T8" s="7">
        <v>10</v>
      </c>
      <c r="U8" s="7">
        <v>10</v>
      </c>
      <c r="V8" s="7">
        <v>10</v>
      </c>
      <c r="W8" s="7">
        <v>10</v>
      </c>
      <c r="X8" s="7">
        <v>10</v>
      </c>
      <c r="Y8" s="7">
        <v>10</v>
      </c>
      <c r="Z8" s="7">
        <v>10</v>
      </c>
      <c r="AA8" s="7">
        <v>200</v>
      </c>
      <c r="AB8" s="7">
        <v>10</v>
      </c>
      <c r="AC8" s="7">
        <v>10</v>
      </c>
      <c r="AD8" s="7">
        <v>10</v>
      </c>
      <c r="AE8" s="7">
        <v>10</v>
      </c>
      <c r="AF8" s="7">
        <v>10</v>
      </c>
      <c r="AG8" s="7">
        <v>10</v>
      </c>
      <c r="AH8" s="7">
        <v>10</v>
      </c>
      <c r="AI8" s="7">
        <v>10</v>
      </c>
      <c r="AJ8" s="7">
        <v>10</v>
      </c>
      <c r="AK8" s="7">
        <v>10</v>
      </c>
      <c r="AL8" s="7">
        <v>10</v>
      </c>
      <c r="AM8" s="7">
        <v>10</v>
      </c>
      <c r="AN8" s="7">
        <v>10</v>
      </c>
      <c r="AO8" s="7">
        <v>10</v>
      </c>
      <c r="AP8" s="7">
        <v>10</v>
      </c>
      <c r="AQ8" s="7">
        <v>10</v>
      </c>
      <c r="AR8" s="7">
        <v>200</v>
      </c>
      <c r="AS8" s="7">
        <v>10</v>
      </c>
      <c r="AT8" s="7">
        <v>10</v>
      </c>
      <c r="AU8" s="7">
        <v>10</v>
      </c>
      <c r="AV8" s="7">
        <v>10</v>
      </c>
      <c r="AW8" s="7">
        <v>10</v>
      </c>
    </row>
    <row r="9" spans="1:49" x14ac:dyDescent="0.35">
      <c r="A9" t="s">
        <v>14</v>
      </c>
      <c r="B9" s="7">
        <v>10</v>
      </c>
      <c r="C9" s="7">
        <v>10</v>
      </c>
      <c r="D9" s="7">
        <v>10</v>
      </c>
      <c r="E9" s="7">
        <v>10</v>
      </c>
      <c r="F9" s="7">
        <v>10</v>
      </c>
      <c r="G9" s="7">
        <v>10</v>
      </c>
      <c r="H9" s="7">
        <v>10</v>
      </c>
      <c r="I9" s="7">
        <v>100</v>
      </c>
      <c r="J9" s="7">
        <v>10</v>
      </c>
      <c r="K9" s="7">
        <v>20</v>
      </c>
      <c r="L9" s="7">
        <v>10</v>
      </c>
      <c r="M9" s="7">
        <v>30</v>
      </c>
      <c r="N9" s="7">
        <v>300</v>
      </c>
      <c r="O9" s="7">
        <v>10</v>
      </c>
      <c r="P9" s="7">
        <v>10</v>
      </c>
      <c r="Q9" s="7">
        <v>10</v>
      </c>
      <c r="R9" s="7">
        <v>10</v>
      </c>
      <c r="S9" s="7">
        <v>10</v>
      </c>
      <c r="T9" s="7">
        <v>10</v>
      </c>
      <c r="U9" s="7">
        <v>10</v>
      </c>
      <c r="V9" s="7">
        <v>10</v>
      </c>
      <c r="W9" s="7">
        <v>10</v>
      </c>
      <c r="X9" s="7">
        <v>10</v>
      </c>
      <c r="Y9" s="7">
        <v>10</v>
      </c>
      <c r="Z9" s="7">
        <v>10</v>
      </c>
      <c r="AA9" s="7">
        <v>10</v>
      </c>
      <c r="AB9" s="7">
        <v>10</v>
      </c>
      <c r="AC9" s="7">
        <v>10</v>
      </c>
      <c r="AD9" s="7">
        <v>10</v>
      </c>
      <c r="AE9" s="7">
        <v>30</v>
      </c>
      <c r="AF9" s="7">
        <v>10</v>
      </c>
      <c r="AG9" s="7">
        <v>10</v>
      </c>
      <c r="AH9" s="7">
        <v>10</v>
      </c>
      <c r="AI9" s="7">
        <v>30</v>
      </c>
      <c r="AJ9" s="7">
        <v>10</v>
      </c>
      <c r="AK9" s="7">
        <v>10</v>
      </c>
      <c r="AL9" s="7">
        <v>10</v>
      </c>
      <c r="AM9" s="7">
        <v>10</v>
      </c>
      <c r="AN9" s="7">
        <v>10</v>
      </c>
      <c r="AO9" s="7">
        <v>10</v>
      </c>
      <c r="AP9" s="7">
        <v>10</v>
      </c>
      <c r="AQ9" s="7">
        <v>10</v>
      </c>
      <c r="AR9" s="7">
        <v>30</v>
      </c>
      <c r="AS9" s="7">
        <v>10</v>
      </c>
      <c r="AT9" s="7">
        <v>10</v>
      </c>
      <c r="AU9" s="7">
        <v>10</v>
      </c>
      <c r="AV9" s="7">
        <v>10</v>
      </c>
      <c r="AW9" s="7">
        <v>10</v>
      </c>
    </row>
    <row r="10" spans="1:49" x14ac:dyDescent="0.35">
      <c r="A10" t="s">
        <v>15</v>
      </c>
      <c r="B10" s="7">
        <v>10</v>
      </c>
      <c r="C10" s="7">
        <v>10</v>
      </c>
      <c r="D10" s="7">
        <v>10</v>
      </c>
      <c r="E10" s="7">
        <v>10</v>
      </c>
      <c r="F10" s="7">
        <v>10</v>
      </c>
      <c r="G10" s="7">
        <v>10</v>
      </c>
      <c r="H10" s="7">
        <v>10</v>
      </c>
      <c r="I10" s="7">
        <v>180</v>
      </c>
      <c r="J10" s="7">
        <v>200</v>
      </c>
      <c r="K10" s="7">
        <v>400</v>
      </c>
      <c r="L10" s="7">
        <v>10</v>
      </c>
      <c r="M10" s="7">
        <v>10</v>
      </c>
      <c r="N10" s="7">
        <v>10</v>
      </c>
      <c r="O10" s="7">
        <v>10</v>
      </c>
      <c r="P10" s="7">
        <v>10</v>
      </c>
      <c r="Q10" s="7">
        <v>10</v>
      </c>
      <c r="R10" s="7">
        <v>10</v>
      </c>
      <c r="S10" s="7">
        <v>10</v>
      </c>
      <c r="T10" s="7">
        <v>10</v>
      </c>
      <c r="U10" s="7">
        <v>10</v>
      </c>
      <c r="V10" s="7">
        <v>10</v>
      </c>
      <c r="W10" s="7">
        <v>10</v>
      </c>
      <c r="X10" s="7">
        <v>10</v>
      </c>
      <c r="Y10" s="7">
        <v>10</v>
      </c>
      <c r="Z10" s="7">
        <v>10</v>
      </c>
      <c r="AA10" s="7">
        <v>10</v>
      </c>
      <c r="AB10" s="7">
        <v>10</v>
      </c>
      <c r="AC10" s="7">
        <v>10</v>
      </c>
      <c r="AD10" s="7">
        <v>10</v>
      </c>
      <c r="AE10" s="7">
        <v>10</v>
      </c>
      <c r="AF10" s="7">
        <v>10</v>
      </c>
      <c r="AG10" s="7">
        <v>10</v>
      </c>
      <c r="AH10" s="7">
        <v>10</v>
      </c>
      <c r="AI10" s="7">
        <v>10</v>
      </c>
      <c r="AJ10" s="7">
        <v>10</v>
      </c>
      <c r="AK10" s="7">
        <v>10</v>
      </c>
      <c r="AL10" s="7">
        <v>10</v>
      </c>
      <c r="AM10" s="7">
        <v>10</v>
      </c>
      <c r="AN10" s="7">
        <v>10</v>
      </c>
      <c r="AO10" s="7">
        <v>10</v>
      </c>
      <c r="AP10" s="7">
        <v>10</v>
      </c>
      <c r="AQ10" s="7">
        <v>10</v>
      </c>
      <c r="AR10" s="7">
        <v>10</v>
      </c>
      <c r="AS10" s="7">
        <v>10</v>
      </c>
      <c r="AT10" s="7">
        <v>10</v>
      </c>
      <c r="AU10" s="7">
        <v>10</v>
      </c>
      <c r="AV10" s="7">
        <v>10</v>
      </c>
      <c r="AW10" s="7">
        <v>10</v>
      </c>
    </row>
    <row r="11" spans="1:49" x14ac:dyDescent="0.35">
      <c r="A11" t="s">
        <v>16</v>
      </c>
      <c r="B11" s="7">
        <v>10</v>
      </c>
      <c r="C11" s="7">
        <v>400</v>
      </c>
      <c r="D11" s="7">
        <v>10</v>
      </c>
      <c r="E11" s="7">
        <v>10</v>
      </c>
      <c r="F11" s="7">
        <v>10</v>
      </c>
      <c r="G11" s="7">
        <v>180</v>
      </c>
      <c r="H11" s="7">
        <v>10</v>
      </c>
      <c r="I11" s="7">
        <v>10</v>
      </c>
      <c r="J11" s="7">
        <v>10</v>
      </c>
      <c r="K11" s="7">
        <v>10</v>
      </c>
      <c r="L11" s="7">
        <v>10</v>
      </c>
      <c r="M11" s="7">
        <v>10</v>
      </c>
      <c r="N11" s="7">
        <v>10</v>
      </c>
      <c r="O11" s="7">
        <v>10</v>
      </c>
      <c r="P11" s="7">
        <v>10</v>
      </c>
      <c r="Q11" s="7">
        <v>10</v>
      </c>
      <c r="R11" s="7">
        <v>10</v>
      </c>
      <c r="S11" s="7">
        <v>10</v>
      </c>
      <c r="T11" s="7">
        <v>10</v>
      </c>
      <c r="U11" s="7">
        <v>10</v>
      </c>
      <c r="V11" s="7">
        <v>10</v>
      </c>
      <c r="W11" s="7">
        <v>10</v>
      </c>
      <c r="X11" s="7">
        <v>10</v>
      </c>
      <c r="Y11" s="7">
        <v>10</v>
      </c>
      <c r="Z11" s="7">
        <v>10</v>
      </c>
      <c r="AA11" s="7">
        <v>10</v>
      </c>
      <c r="AB11" s="7">
        <v>10</v>
      </c>
      <c r="AC11" s="7">
        <v>10</v>
      </c>
      <c r="AD11" s="7">
        <v>10</v>
      </c>
      <c r="AE11" s="7">
        <v>10</v>
      </c>
      <c r="AF11" s="7">
        <v>10</v>
      </c>
      <c r="AG11" s="7">
        <v>10</v>
      </c>
      <c r="AH11" s="7">
        <v>10</v>
      </c>
      <c r="AI11" s="7">
        <v>10</v>
      </c>
      <c r="AJ11" s="7">
        <v>10</v>
      </c>
      <c r="AK11" s="7">
        <v>10</v>
      </c>
      <c r="AL11" s="7">
        <v>10</v>
      </c>
      <c r="AM11" s="7">
        <v>10</v>
      </c>
      <c r="AN11" s="7">
        <v>140</v>
      </c>
      <c r="AO11" s="7">
        <v>10</v>
      </c>
      <c r="AP11" s="7">
        <v>10</v>
      </c>
      <c r="AQ11" s="7">
        <v>10</v>
      </c>
      <c r="AR11" s="7">
        <v>10</v>
      </c>
      <c r="AS11" s="7">
        <v>10</v>
      </c>
      <c r="AT11" s="7">
        <v>10</v>
      </c>
      <c r="AU11" s="7">
        <v>10</v>
      </c>
      <c r="AV11" s="7">
        <v>10</v>
      </c>
      <c r="AW11" s="7">
        <v>10</v>
      </c>
    </row>
    <row r="12" spans="1:49" x14ac:dyDescent="0.35">
      <c r="A12" t="s">
        <v>17</v>
      </c>
      <c r="B12" s="7">
        <v>10</v>
      </c>
      <c r="C12" s="7">
        <v>10</v>
      </c>
      <c r="D12" s="7">
        <v>25</v>
      </c>
      <c r="E12" s="7">
        <v>10</v>
      </c>
      <c r="F12" s="7">
        <v>10</v>
      </c>
      <c r="G12" s="7">
        <v>10</v>
      </c>
      <c r="H12" s="7">
        <v>15</v>
      </c>
      <c r="I12" s="7">
        <v>10</v>
      </c>
      <c r="J12" s="7">
        <v>10</v>
      </c>
      <c r="K12" s="7">
        <v>10</v>
      </c>
      <c r="L12" s="7">
        <v>10</v>
      </c>
      <c r="M12" s="7">
        <v>10</v>
      </c>
      <c r="N12" s="7">
        <v>10</v>
      </c>
      <c r="O12" s="7">
        <v>10</v>
      </c>
      <c r="P12" s="7">
        <v>30</v>
      </c>
      <c r="Q12" s="7">
        <v>26</v>
      </c>
      <c r="R12" s="7">
        <v>10</v>
      </c>
      <c r="S12" s="7">
        <v>10</v>
      </c>
      <c r="T12" s="7">
        <v>10</v>
      </c>
      <c r="U12" s="7">
        <v>10</v>
      </c>
      <c r="V12" s="7">
        <v>34</v>
      </c>
      <c r="W12" s="7">
        <v>10</v>
      </c>
      <c r="X12" s="7">
        <v>10</v>
      </c>
      <c r="Y12" s="7">
        <v>26</v>
      </c>
      <c r="Z12" s="7">
        <v>10</v>
      </c>
      <c r="AA12" s="7">
        <v>10</v>
      </c>
      <c r="AB12" s="7">
        <v>10</v>
      </c>
      <c r="AC12" s="7">
        <v>10</v>
      </c>
      <c r="AD12" s="7">
        <v>10</v>
      </c>
      <c r="AE12" s="7">
        <v>10</v>
      </c>
      <c r="AF12" s="7">
        <v>40</v>
      </c>
      <c r="AG12" s="7">
        <v>26</v>
      </c>
      <c r="AH12" s="7">
        <v>10</v>
      </c>
      <c r="AI12" s="7">
        <v>10</v>
      </c>
      <c r="AJ12" s="7">
        <v>10</v>
      </c>
      <c r="AK12" s="7">
        <v>10</v>
      </c>
      <c r="AL12" s="7">
        <v>10</v>
      </c>
      <c r="AM12" s="7">
        <v>25</v>
      </c>
      <c r="AN12" s="7">
        <v>10</v>
      </c>
      <c r="AO12" s="7">
        <v>40</v>
      </c>
      <c r="AP12" s="7">
        <v>40</v>
      </c>
      <c r="AQ12" s="7">
        <v>10</v>
      </c>
      <c r="AR12" s="7">
        <v>10</v>
      </c>
      <c r="AS12" s="7">
        <v>10</v>
      </c>
      <c r="AT12" s="7">
        <v>10</v>
      </c>
      <c r="AU12" s="7">
        <v>10</v>
      </c>
      <c r="AV12" s="7">
        <v>10</v>
      </c>
      <c r="AW12" s="7">
        <v>26</v>
      </c>
    </row>
    <row r="13" spans="1:49" x14ac:dyDescent="0.35">
      <c r="A13" t="s">
        <v>18</v>
      </c>
      <c r="B13" s="7">
        <v>10</v>
      </c>
      <c r="C13" s="7">
        <v>10</v>
      </c>
      <c r="D13" s="7">
        <v>10</v>
      </c>
      <c r="E13" s="7">
        <v>10</v>
      </c>
      <c r="F13" s="7">
        <v>10</v>
      </c>
      <c r="G13" s="7">
        <v>10</v>
      </c>
      <c r="H13" s="7">
        <v>10</v>
      </c>
      <c r="I13" s="7">
        <v>30</v>
      </c>
      <c r="J13" s="7">
        <v>10</v>
      </c>
      <c r="K13" s="7">
        <v>10</v>
      </c>
      <c r="L13" s="7">
        <v>10</v>
      </c>
      <c r="M13" s="7">
        <v>10</v>
      </c>
      <c r="N13" s="7">
        <v>60</v>
      </c>
      <c r="O13" s="7">
        <v>10</v>
      </c>
      <c r="P13" s="7">
        <v>10</v>
      </c>
      <c r="Q13" s="7">
        <v>10</v>
      </c>
      <c r="R13" s="7">
        <v>10</v>
      </c>
      <c r="S13" s="7">
        <v>10</v>
      </c>
      <c r="T13" s="7">
        <v>10</v>
      </c>
      <c r="U13" s="7">
        <v>80</v>
      </c>
      <c r="V13" s="7">
        <v>10</v>
      </c>
      <c r="W13" s="7">
        <v>10</v>
      </c>
      <c r="X13" s="7">
        <v>10</v>
      </c>
      <c r="Y13" s="7">
        <v>10</v>
      </c>
      <c r="Z13" s="7">
        <v>10</v>
      </c>
      <c r="AA13" s="7">
        <v>10</v>
      </c>
      <c r="AB13" s="7">
        <v>50</v>
      </c>
      <c r="AC13" s="7">
        <v>10</v>
      </c>
      <c r="AD13" s="7">
        <v>10</v>
      </c>
      <c r="AE13" s="7">
        <v>10</v>
      </c>
      <c r="AF13" s="7">
        <v>10</v>
      </c>
      <c r="AG13" s="7">
        <v>10</v>
      </c>
      <c r="AH13" s="7">
        <v>10</v>
      </c>
      <c r="AI13" s="7">
        <v>10</v>
      </c>
      <c r="AJ13" s="7">
        <v>10</v>
      </c>
      <c r="AK13" s="7">
        <v>10</v>
      </c>
      <c r="AL13" s="7">
        <v>10</v>
      </c>
      <c r="AM13" s="7">
        <v>10</v>
      </c>
      <c r="AN13" s="7">
        <v>100</v>
      </c>
      <c r="AO13" s="7">
        <v>10</v>
      </c>
      <c r="AP13" s="7">
        <v>10</v>
      </c>
      <c r="AQ13" s="7">
        <v>10</v>
      </c>
      <c r="AR13" s="7">
        <v>10</v>
      </c>
      <c r="AS13" s="7">
        <v>10</v>
      </c>
      <c r="AT13" s="7">
        <v>120</v>
      </c>
      <c r="AU13" s="7">
        <v>10</v>
      </c>
      <c r="AV13" s="7">
        <v>150</v>
      </c>
      <c r="AW13" s="7">
        <v>10</v>
      </c>
    </row>
    <row r="14" spans="1:49" x14ac:dyDescent="0.35">
      <c r="A14" t="s">
        <v>19</v>
      </c>
      <c r="B14" s="7">
        <v>280</v>
      </c>
      <c r="C14" s="7">
        <v>10</v>
      </c>
      <c r="D14" s="7">
        <v>10</v>
      </c>
      <c r="E14" s="7">
        <v>10</v>
      </c>
      <c r="F14" s="7">
        <v>10</v>
      </c>
      <c r="G14" s="7">
        <v>10</v>
      </c>
      <c r="H14" s="7">
        <v>10</v>
      </c>
      <c r="I14" s="7">
        <v>10</v>
      </c>
      <c r="J14" s="7">
        <v>10</v>
      </c>
      <c r="K14" s="7">
        <v>10</v>
      </c>
      <c r="L14" s="7">
        <v>10</v>
      </c>
      <c r="M14" s="7">
        <v>10</v>
      </c>
      <c r="N14" s="7">
        <v>10</v>
      </c>
      <c r="O14" s="7">
        <v>10</v>
      </c>
      <c r="P14" s="7">
        <v>10</v>
      </c>
      <c r="Q14" s="7">
        <v>10</v>
      </c>
      <c r="R14" s="7">
        <v>10</v>
      </c>
      <c r="S14" s="7">
        <v>10</v>
      </c>
      <c r="T14" s="7">
        <v>10</v>
      </c>
      <c r="U14" s="7">
        <v>10</v>
      </c>
      <c r="V14" s="7">
        <v>10</v>
      </c>
      <c r="W14" s="7">
        <v>10</v>
      </c>
      <c r="X14" s="7">
        <v>10</v>
      </c>
      <c r="Y14" s="7">
        <v>10</v>
      </c>
      <c r="Z14" s="7">
        <v>10</v>
      </c>
      <c r="AA14" s="7">
        <v>10</v>
      </c>
      <c r="AB14" s="7">
        <v>10</v>
      </c>
      <c r="AC14" s="7">
        <v>10</v>
      </c>
      <c r="AD14" s="7">
        <v>10</v>
      </c>
      <c r="AE14" s="7">
        <v>10</v>
      </c>
      <c r="AF14" s="7">
        <v>10</v>
      </c>
      <c r="AG14" s="7">
        <v>10</v>
      </c>
      <c r="AH14" s="7">
        <v>10</v>
      </c>
      <c r="AI14" s="7">
        <v>10</v>
      </c>
      <c r="AJ14" s="7">
        <v>10</v>
      </c>
      <c r="AK14" s="7">
        <v>120</v>
      </c>
      <c r="AL14" s="7">
        <v>10</v>
      </c>
      <c r="AM14" s="7">
        <v>10</v>
      </c>
      <c r="AN14" s="7">
        <v>10</v>
      </c>
      <c r="AO14" s="7">
        <v>10</v>
      </c>
      <c r="AP14" s="7">
        <v>10</v>
      </c>
      <c r="AQ14" s="7">
        <v>10</v>
      </c>
      <c r="AR14" s="7">
        <v>10</v>
      </c>
      <c r="AS14" s="7">
        <v>10</v>
      </c>
      <c r="AT14" s="7">
        <v>10</v>
      </c>
      <c r="AU14" s="7">
        <v>10</v>
      </c>
      <c r="AV14" s="7">
        <v>10</v>
      </c>
      <c r="AW14" s="7">
        <v>10</v>
      </c>
    </row>
    <row r="15" spans="1:49" x14ac:dyDescent="0.35">
      <c r="A15" t="s">
        <v>20</v>
      </c>
      <c r="B15" s="7">
        <v>10</v>
      </c>
      <c r="C15" s="7">
        <v>200</v>
      </c>
      <c r="D15" s="7">
        <v>50</v>
      </c>
      <c r="E15" s="7">
        <v>10</v>
      </c>
      <c r="F15" s="7">
        <v>10</v>
      </c>
      <c r="G15" s="7">
        <v>50</v>
      </c>
      <c r="H15" s="7">
        <v>60</v>
      </c>
      <c r="I15" s="7">
        <v>10</v>
      </c>
      <c r="J15" s="7">
        <v>10</v>
      </c>
      <c r="K15" s="7">
        <v>10</v>
      </c>
      <c r="L15" s="7">
        <v>10</v>
      </c>
      <c r="M15" s="7">
        <v>50</v>
      </c>
      <c r="N15" s="7">
        <v>10</v>
      </c>
      <c r="O15" s="7">
        <v>10</v>
      </c>
      <c r="P15" s="7">
        <v>10</v>
      </c>
      <c r="Q15" s="7">
        <v>50</v>
      </c>
      <c r="R15" s="7">
        <v>10</v>
      </c>
      <c r="S15" s="7">
        <v>10</v>
      </c>
      <c r="T15" s="7">
        <v>10</v>
      </c>
      <c r="U15" s="7">
        <v>20</v>
      </c>
      <c r="V15" s="7">
        <v>10</v>
      </c>
      <c r="W15" s="7">
        <v>10</v>
      </c>
      <c r="X15" s="7">
        <v>10</v>
      </c>
      <c r="Y15" s="7">
        <v>20</v>
      </c>
      <c r="Z15" s="7">
        <v>10</v>
      </c>
      <c r="AA15" s="7">
        <v>10</v>
      </c>
      <c r="AB15" s="7">
        <v>10</v>
      </c>
      <c r="AC15" s="7">
        <v>10</v>
      </c>
      <c r="AD15" s="7">
        <v>10</v>
      </c>
      <c r="AE15" s="7">
        <v>10</v>
      </c>
      <c r="AF15" s="7">
        <v>100</v>
      </c>
      <c r="AG15" s="7">
        <v>100</v>
      </c>
      <c r="AH15" s="7">
        <v>100</v>
      </c>
      <c r="AI15" s="7">
        <v>10</v>
      </c>
      <c r="AJ15" s="7">
        <v>10</v>
      </c>
      <c r="AK15" s="7">
        <v>30</v>
      </c>
      <c r="AL15" s="7">
        <v>10</v>
      </c>
      <c r="AM15" s="7">
        <v>10</v>
      </c>
      <c r="AN15" s="7">
        <v>10</v>
      </c>
      <c r="AO15" s="7">
        <v>10</v>
      </c>
      <c r="AP15" s="7">
        <v>10</v>
      </c>
      <c r="AQ15" s="7">
        <v>10</v>
      </c>
      <c r="AR15" s="7">
        <v>10</v>
      </c>
      <c r="AS15" s="7">
        <v>10</v>
      </c>
      <c r="AT15" s="7">
        <v>10</v>
      </c>
      <c r="AU15" s="7">
        <v>10</v>
      </c>
      <c r="AV15" s="7">
        <v>10</v>
      </c>
      <c r="AW15" s="7">
        <v>10</v>
      </c>
    </row>
    <row r="16" spans="1:49" x14ac:dyDescent="0.35">
      <c r="A16" t="s">
        <v>21</v>
      </c>
      <c r="B16" s="7">
        <v>10</v>
      </c>
      <c r="C16" s="7">
        <v>10</v>
      </c>
      <c r="D16" s="7">
        <v>10</v>
      </c>
      <c r="E16" s="7">
        <v>10</v>
      </c>
      <c r="F16" s="7">
        <v>10</v>
      </c>
      <c r="G16" s="7">
        <v>10</v>
      </c>
      <c r="H16" s="7">
        <v>10</v>
      </c>
      <c r="I16" s="7">
        <v>10</v>
      </c>
      <c r="J16" s="7">
        <v>10</v>
      </c>
      <c r="K16" s="7">
        <v>10</v>
      </c>
      <c r="L16" s="7">
        <v>10</v>
      </c>
      <c r="M16" s="7">
        <v>10</v>
      </c>
      <c r="N16" s="7">
        <v>10</v>
      </c>
      <c r="O16" s="7">
        <v>10</v>
      </c>
      <c r="P16" s="7">
        <v>10</v>
      </c>
      <c r="Q16" s="7">
        <v>400</v>
      </c>
      <c r="R16" s="7">
        <v>10</v>
      </c>
      <c r="S16" s="7">
        <v>10</v>
      </c>
      <c r="T16" s="7">
        <v>10</v>
      </c>
      <c r="U16" s="7">
        <v>10</v>
      </c>
      <c r="V16" s="7">
        <v>10</v>
      </c>
      <c r="W16" s="7">
        <v>10</v>
      </c>
      <c r="X16" s="7">
        <v>10</v>
      </c>
      <c r="Y16" s="7">
        <v>10</v>
      </c>
      <c r="Z16" s="7">
        <v>10</v>
      </c>
      <c r="AA16" s="7">
        <v>10</v>
      </c>
      <c r="AB16" s="7">
        <v>10</v>
      </c>
      <c r="AC16" s="7">
        <v>10</v>
      </c>
      <c r="AD16" s="7">
        <v>10</v>
      </c>
      <c r="AE16" s="7">
        <v>10</v>
      </c>
      <c r="AF16" s="7">
        <v>30</v>
      </c>
      <c r="AG16" s="7">
        <v>10</v>
      </c>
      <c r="AH16" s="7">
        <v>10</v>
      </c>
      <c r="AI16" s="7">
        <v>10</v>
      </c>
      <c r="AJ16" s="7">
        <v>10</v>
      </c>
      <c r="AK16" s="7">
        <v>10</v>
      </c>
      <c r="AL16" s="7">
        <v>10</v>
      </c>
      <c r="AM16" s="7">
        <v>10</v>
      </c>
      <c r="AN16" s="7">
        <v>10</v>
      </c>
      <c r="AO16" s="7">
        <v>10</v>
      </c>
      <c r="AP16" s="7">
        <v>10</v>
      </c>
      <c r="AQ16" s="7">
        <v>10</v>
      </c>
      <c r="AR16" s="7">
        <v>10</v>
      </c>
      <c r="AS16" s="7">
        <v>10</v>
      </c>
      <c r="AT16" s="7">
        <v>10</v>
      </c>
      <c r="AU16" s="7">
        <v>10</v>
      </c>
      <c r="AV16" s="7">
        <v>10</v>
      </c>
      <c r="AW16" s="7">
        <v>10</v>
      </c>
    </row>
    <row r="17" spans="1:49" x14ac:dyDescent="0.35">
      <c r="A17" t="s">
        <v>22</v>
      </c>
      <c r="B17" s="7">
        <v>180</v>
      </c>
      <c r="C17" s="7">
        <v>10</v>
      </c>
      <c r="D17" s="7">
        <v>10</v>
      </c>
      <c r="E17" s="7">
        <v>10</v>
      </c>
      <c r="F17" s="7">
        <v>10</v>
      </c>
      <c r="G17" s="7">
        <v>10</v>
      </c>
      <c r="H17" s="7">
        <v>10</v>
      </c>
      <c r="I17" s="7">
        <v>10</v>
      </c>
      <c r="J17" s="7">
        <v>10</v>
      </c>
      <c r="K17" s="7">
        <v>10</v>
      </c>
      <c r="L17" s="7">
        <v>10</v>
      </c>
      <c r="M17" s="7">
        <v>10</v>
      </c>
      <c r="N17" s="7">
        <v>100</v>
      </c>
      <c r="O17" s="7">
        <v>220</v>
      </c>
      <c r="P17" s="7">
        <v>180</v>
      </c>
      <c r="Q17" s="7">
        <v>10</v>
      </c>
      <c r="R17" s="7">
        <v>10</v>
      </c>
      <c r="S17" s="7">
        <v>10</v>
      </c>
      <c r="T17" s="7">
        <v>10</v>
      </c>
      <c r="U17" s="7">
        <v>10</v>
      </c>
      <c r="V17" s="7">
        <v>10</v>
      </c>
      <c r="W17" s="7">
        <v>10</v>
      </c>
      <c r="X17" s="7">
        <v>10</v>
      </c>
      <c r="Y17" s="7">
        <v>10</v>
      </c>
      <c r="Z17" s="7">
        <v>10</v>
      </c>
      <c r="AA17" s="7">
        <v>10</v>
      </c>
      <c r="AB17" s="7">
        <v>10</v>
      </c>
      <c r="AC17" s="7">
        <v>10</v>
      </c>
      <c r="AD17" s="7">
        <v>10</v>
      </c>
      <c r="AE17" s="7">
        <v>10</v>
      </c>
      <c r="AF17" s="7">
        <v>10</v>
      </c>
      <c r="AG17" s="7">
        <v>10</v>
      </c>
      <c r="AH17" s="7">
        <v>10</v>
      </c>
      <c r="AI17" s="7">
        <v>10</v>
      </c>
      <c r="AJ17" s="7">
        <v>10</v>
      </c>
      <c r="AK17" s="7">
        <v>10</v>
      </c>
      <c r="AL17" s="7">
        <v>10</v>
      </c>
      <c r="AM17" s="7">
        <v>10</v>
      </c>
      <c r="AN17" s="7">
        <v>10</v>
      </c>
      <c r="AO17" s="7">
        <v>10</v>
      </c>
      <c r="AP17" s="7">
        <v>10</v>
      </c>
      <c r="AQ17" s="7">
        <v>10</v>
      </c>
      <c r="AR17" s="7">
        <v>10</v>
      </c>
      <c r="AS17" s="7">
        <v>10</v>
      </c>
      <c r="AT17" s="7">
        <v>10</v>
      </c>
      <c r="AU17" s="7">
        <v>10</v>
      </c>
      <c r="AV17" s="7">
        <v>10</v>
      </c>
      <c r="AW17" s="7">
        <v>10</v>
      </c>
    </row>
    <row r="18" spans="1:49" x14ac:dyDescent="0.35">
      <c r="A18" t="s">
        <v>23</v>
      </c>
      <c r="B18" s="7">
        <v>50</v>
      </c>
      <c r="C18" s="7">
        <v>200</v>
      </c>
      <c r="D18" s="7">
        <v>10</v>
      </c>
      <c r="E18" s="7">
        <v>10</v>
      </c>
      <c r="F18" s="7">
        <v>10</v>
      </c>
      <c r="G18" s="7">
        <v>120</v>
      </c>
      <c r="H18" s="7">
        <v>40</v>
      </c>
      <c r="I18" s="7">
        <v>10</v>
      </c>
      <c r="J18" s="7">
        <v>10</v>
      </c>
      <c r="K18" s="7">
        <v>10</v>
      </c>
      <c r="L18" s="7">
        <v>10</v>
      </c>
      <c r="M18" s="7">
        <v>10</v>
      </c>
      <c r="N18" s="7">
        <v>10</v>
      </c>
      <c r="O18" s="7">
        <v>10</v>
      </c>
      <c r="P18" s="7">
        <v>10</v>
      </c>
      <c r="Q18" s="7">
        <v>10</v>
      </c>
      <c r="R18" s="7">
        <v>10</v>
      </c>
      <c r="S18" s="7">
        <v>40</v>
      </c>
      <c r="T18" s="7">
        <v>10</v>
      </c>
      <c r="U18" s="7">
        <v>10</v>
      </c>
      <c r="V18" s="7">
        <v>10</v>
      </c>
      <c r="W18" s="7">
        <v>10</v>
      </c>
      <c r="X18" s="7">
        <v>10</v>
      </c>
      <c r="Y18" s="7">
        <v>10</v>
      </c>
      <c r="Z18" s="7">
        <v>10</v>
      </c>
      <c r="AA18" s="7">
        <v>10</v>
      </c>
      <c r="AB18" s="7">
        <v>10</v>
      </c>
      <c r="AC18" s="7">
        <v>10</v>
      </c>
      <c r="AD18" s="7">
        <v>10</v>
      </c>
      <c r="AE18" s="7">
        <v>10</v>
      </c>
      <c r="AF18" s="7">
        <v>10</v>
      </c>
      <c r="AG18" s="7">
        <v>10</v>
      </c>
      <c r="AH18" s="7">
        <v>50</v>
      </c>
      <c r="AI18" s="7">
        <v>10</v>
      </c>
      <c r="AJ18" s="7">
        <v>10</v>
      </c>
      <c r="AK18" s="7">
        <v>10</v>
      </c>
      <c r="AL18" s="7">
        <v>80</v>
      </c>
      <c r="AM18" s="7">
        <v>10</v>
      </c>
      <c r="AN18" s="7">
        <v>10</v>
      </c>
      <c r="AO18" s="7">
        <v>10</v>
      </c>
      <c r="AP18" s="7">
        <v>10</v>
      </c>
      <c r="AQ18" s="7">
        <v>10</v>
      </c>
      <c r="AR18" s="7">
        <v>30</v>
      </c>
      <c r="AS18" s="7">
        <v>10</v>
      </c>
      <c r="AT18" s="7">
        <v>10</v>
      </c>
      <c r="AU18" s="7">
        <v>10</v>
      </c>
      <c r="AV18" s="7">
        <v>10</v>
      </c>
      <c r="AW18" s="7">
        <v>10</v>
      </c>
    </row>
    <row r="19" spans="1:49" x14ac:dyDescent="0.35">
      <c r="A19" t="s">
        <v>24</v>
      </c>
      <c r="B19" s="7">
        <v>10</v>
      </c>
      <c r="C19" s="7">
        <v>10</v>
      </c>
      <c r="D19" s="7">
        <v>10</v>
      </c>
      <c r="E19" s="7">
        <v>10</v>
      </c>
      <c r="F19" s="7">
        <v>10</v>
      </c>
      <c r="G19" s="7">
        <v>10</v>
      </c>
      <c r="H19" s="7">
        <v>10</v>
      </c>
      <c r="I19" s="7">
        <v>10</v>
      </c>
      <c r="J19" s="7">
        <v>100</v>
      </c>
      <c r="K19" s="7">
        <v>10</v>
      </c>
      <c r="L19" s="7">
        <v>10</v>
      </c>
      <c r="M19" s="7">
        <v>10</v>
      </c>
      <c r="N19" s="7">
        <v>30</v>
      </c>
      <c r="O19" s="7">
        <v>30</v>
      </c>
      <c r="P19" s="7">
        <v>10</v>
      </c>
      <c r="Q19" s="7">
        <v>10</v>
      </c>
      <c r="R19" s="7">
        <v>10</v>
      </c>
      <c r="S19" s="7">
        <v>10</v>
      </c>
      <c r="T19" s="7">
        <v>10</v>
      </c>
      <c r="U19" s="7">
        <v>10</v>
      </c>
      <c r="V19" s="7">
        <v>10</v>
      </c>
      <c r="W19" s="7">
        <v>10</v>
      </c>
      <c r="X19" s="7">
        <v>10</v>
      </c>
      <c r="Y19" s="7">
        <v>10</v>
      </c>
      <c r="Z19" s="7">
        <v>10</v>
      </c>
      <c r="AA19" s="7">
        <v>10</v>
      </c>
      <c r="AB19" s="7">
        <v>10</v>
      </c>
      <c r="AC19" s="7">
        <v>10</v>
      </c>
      <c r="AD19" s="7">
        <v>10</v>
      </c>
      <c r="AE19" s="7">
        <v>20</v>
      </c>
      <c r="AF19" s="7">
        <v>10</v>
      </c>
      <c r="AG19" s="7">
        <v>10</v>
      </c>
      <c r="AH19" s="7">
        <v>50</v>
      </c>
      <c r="AI19" s="7">
        <v>20</v>
      </c>
      <c r="AJ19" s="7">
        <v>100</v>
      </c>
      <c r="AK19" s="7">
        <v>10</v>
      </c>
      <c r="AL19" s="7">
        <v>10</v>
      </c>
      <c r="AM19" s="7">
        <v>10</v>
      </c>
      <c r="AN19" s="7">
        <v>10</v>
      </c>
      <c r="AO19" s="7">
        <v>10</v>
      </c>
      <c r="AP19" s="7">
        <v>10</v>
      </c>
      <c r="AQ19" s="7">
        <v>10</v>
      </c>
      <c r="AR19" s="7">
        <v>20</v>
      </c>
      <c r="AS19" s="7">
        <v>10</v>
      </c>
      <c r="AT19" s="7">
        <v>10</v>
      </c>
      <c r="AU19" s="7">
        <v>10</v>
      </c>
      <c r="AV19" s="7">
        <v>10</v>
      </c>
      <c r="AW19" s="7">
        <v>10</v>
      </c>
    </row>
    <row r="20" spans="1:49" x14ac:dyDescent="0.35">
      <c r="A20" t="s">
        <v>25</v>
      </c>
      <c r="B20" s="7">
        <v>10</v>
      </c>
      <c r="C20" s="7">
        <v>10</v>
      </c>
      <c r="D20" s="7">
        <v>10</v>
      </c>
      <c r="E20" s="7">
        <v>10</v>
      </c>
      <c r="F20" s="7">
        <v>10</v>
      </c>
      <c r="G20" s="7">
        <v>10</v>
      </c>
      <c r="H20" s="7">
        <v>10</v>
      </c>
      <c r="I20" s="7">
        <v>10</v>
      </c>
      <c r="J20" s="7">
        <v>10</v>
      </c>
      <c r="K20" s="7">
        <v>10</v>
      </c>
      <c r="L20" s="7">
        <v>10</v>
      </c>
      <c r="M20" s="7">
        <v>10</v>
      </c>
      <c r="N20" s="7">
        <v>10</v>
      </c>
      <c r="O20" s="7">
        <v>10</v>
      </c>
      <c r="P20" s="7">
        <v>10</v>
      </c>
      <c r="Q20" s="7">
        <v>10</v>
      </c>
      <c r="R20" s="7">
        <v>10</v>
      </c>
      <c r="S20" s="7">
        <v>10</v>
      </c>
      <c r="T20" s="7">
        <v>10</v>
      </c>
      <c r="U20" s="7">
        <v>10</v>
      </c>
      <c r="V20" s="7">
        <v>10</v>
      </c>
      <c r="W20" s="7">
        <v>10</v>
      </c>
      <c r="X20" s="7">
        <v>10</v>
      </c>
      <c r="Y20" s="7">
        <v>10</v>
      </c>
      <c r="Z20" s="7">
        <v>10</v>
      </c>
      <c r="AA20" s="7">
        <v>10</v>
      </c>
      <c r="AB20" s="7">
        <v>10</v>
      </c>
      <c r="AC20" s="7">
        <v>10</v>
      </c>
      <c r="AD20" s="7">
        <v>10</v>
      </c>
      <c r="AE20" s="7">
        <v>10</v>
      </c>
      <c r="AF20" s="7">
        <v>10</v>
      </c>
      <c r="AG20" s="7">
        <v>10</v>
      </c>
      <c r="AH20" s="7">
        <v>10</v>
      </c>
      <c r="AI20" s="7">
        <v>10</v>
      </c>
      <c r="AJ20" s="7">
        <v>10</v>
      </c>
      <c r="AK20" s="7">
        <v>10</v>
      </c>
      <c r="AL20" s="7">
        <v>160</v>
      </c>
      <c r="AM20" s="7">
        <v>10</v>
      </c>
      <c r="AN20" s="7">
        <v>10</v>
      </c>
      <c r="AO20" s="7">
        <v>10</v>
      </c>
      <c r="AP20" s="7">
        <v>10</v>
      </c>
      <c r="AQ20" s="7">
        <v>10</v>
      </c>
      <c r="AR20" s="7">
        <v>10</v>
      </c>
      <c r="AS20" s="7">
        <v>10</v>
      </c>
      <c r="AT20" s="7">
        <v>10</v>
      </c>
      <c r="AU20" s="7">
        <v>10</v>
      </c>
      <c r="AV20" s="7">
        <v>10</v>
      </c>
      <c r="AW20" s="7">
        <v>10</v>
      </c>
    </row>
    <row r="21" spans="1:49" x14ac:dyDescent="0.35">
      <c r="A21" t="s">
        <v>26</v>
      </c>
      <c r="B21" s="7">
        <v>10</v>
      </c>
      <c r="C21" s="7">
        <v>10</v>
      </c>
      <c r="D21" s="7">
        <v>10</v>
      </c>
      <c r="E21" s="7">
        <v>10</v>
      </c>
      <c r="F21" s="7">
        <v>20</v>
      </c>
      <c r="G21" s="7">
        <v>10</v>
      </c>
      <c r="H21" s="7">
        <v>10</v>
      </c>
      <c r="I21" s="7">
        <v>20</v>
      </c>
      <c r="J21" s="7">
        <v>10</v>
      </c>
      <c r="K21" s="7">
        <v>10</v>
      </c>
      <c r="L21" s="7">
        <v>10</v>
      </c>
      <c r="M21" s="7">
        <v>10</v>
      </c>
      <c r="N21" s="7">
        <v>10</v>
      </c>
      <c r="O21" s="7">
        <v>10</v>
      </c>
      <c r="P21" s="7">
        <v>10</v>
      </c>
      <c r="Q21" s="7">
        <v>10</v>
      </c>
      <c r="R21" s="7">
        <v>10</v>
      </c>
      <c r="S21" s="7">
        <v>10</v>
      </c>
      <c r="T21" s="7">
        <v>10</v>
      </c>
      <c r="U21" s="7">
        <v>10</v>
      </c>
      <c r="V21" s="7">
        <v>10</v>
      </c>
      <c r="W21" s="7">
        <v>10</v>
      </c>
      <c r="X21" s="7">
        <v>10</v>
      </c>
      <c r="Y21" s="7">
        <v>10</v>
      </c>
      <c r="Z21" s="7">
        <v>10</v>
      </c>
      <c r="AA21" s="7">
        <v>10</v>
      </c>
      <c r="AB21" s="7">
        <v>10</v>
      </c>
      <c r="AC21" s="7">
        <v>10</v>
      </c>
      <c r="AD21" s="7">
        <v>10</v>
      </c>
      <c r="AE21" s="7">
        <v>20</v>
      </c>
      <c r="AF21" s="7">
        <v>20</v>
      </c>
      <c r="AG21" s="7">
        <v>10</v>
      </c>
      <c r="AH21" s="7">
        <v>10</v>
      </c>
      <c r="AI21" s="7">
        <v>10</v>
      </c>
      <c r="AJ21" s="7">
        <v>10</v>
      </c>
      <c r="AK21" s="7">
        <v>10</v>
      </c>
      <c r="AL21" s="7">
        <v>20</v>
      </c>
      <c r="AM21" s="7">
        <v>20</v>
      </c>
      <c r="AN21" s="7">
        <v>10</v>
      </c>
      <c r="AO21" s="7">
        <v>10</v>
      </c>
      <c r="AP21" s="7">
        <v>10</v>
      </c>
      <c r="AQ21" s="7">
        <v>10</v>
      </c>
      <c r="AR21" s="7">
        <v>10</v>
      </c>
      <c r="AS21" s="7">
        <v>10</v>
      </c>
      <c r="AT21" s="7">
        <v>10</v>
      </c>
      <c r="AU21" s="7">
        <v>10</v>
      </c>
      <c r="AV21" s="7">
        <v>10</v>
      </c>
      <c r="AW21" s="7">
        <v>10</v>
      </c>
    </row>
    <row r="22" spans="1:49" x14ac:dyDescent="0.35">
      <c r="A22" t="s">
        <v>27</v>
      </c>
      <c r="B22" s="7">
        <v>62</v>
      </c>
      <c r="C22" s="7">
        <v>10</v>
      </c>
      <c r="D22" s="7">
        <v>10</v>
      </c>
      <c r="E22" s="7">
        <v>10</v>
      </c>
      <c r="F22" s="7">
        <v>10</v>
      </c>
      <c r="G22" s="7">
        <v>10</v>
      </c>
      <c r="H22" s="7">
        <v>25</v>
      </c>
      <c r="I22" s="7">
        <v>10</v>
      </c>
      <c r="J22" s="7">
        <v>10</v>
      </c>
      <c r="K22" s="7">
        <v>10</v>
      </c>
      <c r="L22" s="7">
        <v>10</v>
      </c>
      <c r="M22" s="7">
        <v>10</v>
      </c>
      <c r="N22" s="7">
        <v>10</v>
      </c>
      <c r="O22" s="7">
        <v>10</v>
      </c>
      <c r="P22" s="7">
        <v>20</v>
      </c>
      <c r="Q22" s="7">
        <v>10</v>
      </c>
      <c r="R22" s="7">
        <v>10</v>
      </c>
      <c r="S22" s="7">
        <v>10</v>
      </c>
      <c r="T22" s="7">
        <v>10</v>
      </c>
      <c r="U22" s="7">
        <v>10</v>
      </c>
      <c r="V22" s="7">
        <v>10</v>
      </c>
      <c r="W22" s="7">
        <v>10</v>
      </c>
      <c r="X22" s="7">
        <v>10</v>
      </c>
      <c r="Y22" s="7">
        <v>32</v>
      </c>
      <c r="Z22" s="7">
        <v>10</v>
      </c>
      <c r="AA22" s="7">
        <v>10</v>
      </c>
      <c r="AB22" s="7">
        <v>10</v>
      </c>
      <c r="AC22" s="7">
        <v>10</v>
      </c>
      <c r="AD22" s="7">
        <v>10</v>
      </c>
      <c r="AE22" s="7">
        <v>10</v>
      </c>
      <c r="AF22" s="7">
        <v>10</v>
      </c>
      <c r="AG22" s="7">
        <v>10</v>
      </c>
      <c r="AH22" s="7">
        <v>10</v>
      </c>
      <c r="AI22" s="7">
        <v>26</v>
      </c>
      <c r="AJ22" s="7">
        <v>10</v>
      </c>
      <c r="AK22" s="7">
        <v>25</v>
      </c>
      <c r="AL22" s="7">
        <v>10</v>
      </c>
      <c r="AM22" s="7">
        <v>10</v>
      </c>
      <c r="AN22" s="7">
        <v>10</v>
      </c>
      <c r="AO22" s="7">
        <v>10</v>
      </c>
      <c r="AP22" s="7">
        <v>10</v>
      </c>
      <c r="AQ22" s="7">
        <v>10</v>
      </c>
      <c r="AR22" s="7">
        <v>10</v>
      </c>
      <c r="AS22" s="7">
        <v>10</v>
      </c>
      <c r="AT22" s="7">
        <v>10</v>
      </c>
      <c r="AU22" s="7">
        <v>10</v>
      </c>
      <c r="AV22" s="7">
        <v>10</v>
      </c>
      <c r="AW22" s="7">
        <v>20</v>
      </c>
    </row>
    <row r="23" spans="1:49" x14ac:dyDescent="0.35">
      <c r="A23" t="s">
        <v>28</v>
      </c>
      <c r="B23" s="7">
        <v>10</v>
      </c>
      <c r="C23" s="7">
        <v>10</v>
      </c>
      <c r="D23" s="7">
        <v>10</v>
      </c>
      <c r="E23" s="7">
        <v>10</v>
      </c>
      <c r="F23" s="7">
        <v>10</v>
      </c>
      <c r="G23" s="7">
        <v>10</v>
      </c>
      <c r="H23" s="7">
        <v>10</v>
      </c>
      <c r="I23" s="7">
        <v>10</v>
      </c>
      <c r="J23" s="7">
        <v>10</v>
      </c>
      <c r="K23" s="7">
        <v>10</v>
      </c>
      <c r="L23" s="7">
        <v>10</v>
      </c>
      <c r="M23" s="7">
        <v>10</v>
      </c>
      <c r="N23" s="7">
        <v>10</v>
      </c>
      <c r="O23" s="7">
        <v>10</v>
      </c>
      <c r="P23" s="7">
        <v>10</v>
      </c>
      <c r="Q23" s="7">
        <v>10</v>
      </c>
      <c r="R23" s="7">
        <v>10</v>
      </c>
      <c r="S23" s="7">
        <v>10</v>
      </c>
      <c r="T23" s="7">
        <v>10</v>
      </c>
      <c r="U23" s="7">
        <v>10</v>
      </c>
      <c r="V23" s="7">
        <v>10</v>
      </c>
      <c r="W23" s="7">
        <v>10</v>
      </c>
      <c r="X23" s="7">
        <v>10</v>
      </c>
      <c r="Y23" s="7">
        <v>10</v>
      </c>
      <c r="Z23" s="7">
        <v>10</v>
      </c>
      <c r="AA23" s="7">
        <v>10</v>
      </c>
      <c r="AB23" s="7">
        <v>10</v>
      </c>
      <c r="AC23" s="7">
        <v>10</v>
      </c>
      <c r="AD23" s="7">
        <v>10</v>
      </c>
      <c r="AE23" s="7">
        <v>10</v>
      </c>
      <c r="AF23" s="7">
        <v>10</v>
      </c>
      <c r="AG23" s="7">
        <v>10</v>
      </c>
      <c r="AH23" s="7">
        <v>10</v>
      </c>
      <c r="AI23" s="7">
        <v>10</v>
      </c>
      <c r="AJ23" s="7">
        <v>10</v>
      </c>
      <c r="AK23" s="7">
        <v>10</v>
      </c>
      <c r="AL23" s="7">
        <v>10</v>
      </c>
      <c r="AM23" s="7">
        <v>10</v>
      </c>
      <c r="AN23" s="7">
        <v>10</v>
      </c>
      <c r="AO23" s="7">
        <v>10</v>
      </c>
      <c r="AP23" s="7">
        <v>10</v>
      </c>
      <c r="AQ23" s="7">
        <v>10</v>
      </c>
      <c r="AR23" s="7">
        <v>10</v>
      </c>
      <c r="AS23" s="7">
        <v>10</v>
      </c>
      <c r="AT23" s="7">
        <v>10</v>
      </c>
      <c r="AU23" s="7">
        <v>10</v>
      </c>
      <c r="AV23" s="7">
        <v>10</v>
      </c>
      <c r="AW23" s="7">
        <v>10</v>
      </c>
    </row>
    <row r="24" spans="1:49" x14ac:dyDescent="0.35">
      <c r="A24" t="s">
        <v>29</v>
      </c>
      <c r="B24" s="7">
        <v>10</v>
      </c>
      <c r="C24" s="7">
        <v>10</v>
      </c>
      <c r="D24" s="7">
        <v>10</v>
      </c>
      <c r="E24" s="7">
        <v>10</v>
      </c>
      <c r="F24" s="7">
        <v>10</v>
      </c>
      <c r="G24" s="7">
        <v>10</v>
      </c>
      <c r="H24" s="7">
        <v>10</v>
      </c>
      <c r="I24" s="7">
        <v>10</v>
      </c>
      <c r="J24" s="7">
        <v>10</v>
      </c>
      <c r="K24" s="7">
        <v>10</v>
      </c>
      <c r="L24" s="7">
        <v>10</v>
      </c>
      <c r="M24" s="7">
        <v>10</v>
      </c>
      <c r="N24" s="7">
        <v>10</v>
      </c>
      <c r="O24" s="7">
        <v>10</v>
      </c>
      <c r="P24" s="7">
        <v>10</v>
      </c>
      <c r="Q24" s="7">
        <v>10</v>
      </c>
      <c r="R24" s="7">
        <v>10</v>
      </c>
      <c r="S24" s="7">
        <v>10</v>
      </c>
      <c r="T24" s="7">
        <v>10</v>
      </c>
      <c r="U24" s="7">
        <v>10</v>
      </c>
      <c r="V24" s="7">
        <v>10</v>
      </c>
      <c r="W24" s="7">
        <v>10</v>
      </c>
      <c r="X24" s="7">
        <v>10</v>
      </c>
      <c r="Y24" s="7">
        <v>10</v>
      </c>
      <c r="Z24" s="7">
        <v>10</v>
      </c>
      <c r="AA24" s="7">
        <v>10</v>
      </c>
      <c r="AB24" s="7">
        <v>10</v>
      </c>
      <c r="AC24" s="7">
        <v>10</v>
      </c>
      <c r="AD24" s="7">
        <v>10</v>
      </c>
      <c r="AE24" s="7">
        <v>10</v>
      </c>
      <c r="AF24" s="7">
        <v>10</v>
      </c>
      <c r="AG24" s="7">
        <v>10</v>
      </c>
      <c r="AH24" s="7">
        <v>10</v>
      </c>
      <c r="AI24" s="7">
        <v>10</v>
      </c>
      <c r="AJ24" s="7">
        <v>10</v>
      </c>
      <c r="AK24" s="7">
        <v>10</v>
      </c>
      <c r="AL24" s="7">
        <v>10</v>
      </c>
      <c r="AM24" s="7">
        <v>10</v>
      </c>
      <c r="AN24" s="7">
        <v>10</v>
      </c>
      <c r="AO24" s="7">
        <v>10</v>
      </c>
      <c r="AP24" s="7">
        <v>10</v>
      </c>
      <c r="AQ24" s="7">
        <v>10</v>
      </c>
      <c r="AR24" s="7">
        <v>10</v>
      </c>
      <c r="AS24" s="7">
        <v>10</v>
      </c>
      <c r="AT24" s="7">
        <v>10</v>
      </c>
      <c r="AU24" s="7">
        <v>10</v>
      </c>
      <c r="AV24" s="7">
        <v>10</v>
      </c>
      <c r="AW24" s="7">
        <v>10</v>
      </c>
    </row>
    <row r="25" spans="1:49" x14ac:dyDescent="0.35">
      <c r="A25" t="s">
        <v>30</v>
      </c>
      <c r="B25" s="7">
        <v>10</v>
      </c>
      <c r="C25" s="7">
        <v>10</v>
      </c>
      <c r="D25" s="7">
        <v>10</v>
      </c>
      <c r="E25" s="7">
        <v>10</v>
      </c>
      <c r="F25" s="7">
        <v>10</v>
      </c>
      <c r="G25" s="7">
        <v>10</v>
      </c>
      <c r="H25" s="7">
        <v>10</v>
      </c>
      <c r="I25" s="7">
        <v>10</v>
      </c>
      <c r="J25" s="7">
        <v>10</v>
      </c>
      <c r="K25" s="7">
        <v>10</v>
      </c>
      <c r="L25" s="7">
        <v>10</v>
      </c>
      <c r="M25" s="7">
        <v>10</v>
      </c>
      <c r="N25" s="7">
        <v>160</v>
      </c>
      <c r="O25" s="7">
        <v>10</v>
      </c>
      <c r="P25" s="7">
        <v>10</v>
      </c>
      <c r="Q25" s="7">
        <v>10</v>
      </c>
      <c r="R25" s="7">
        <v>10</v>
      </c>
      <c r="S25" s="7">
        <v>10</v>
      </c>
      <c r="T25" s="7">
        <v>10</v>
      </c>
      <c r="U25" s="7">
        <v>100</v>
      </c>
      <c r="V25" s="7">
        <v>10</v>
      </c>
      <c r="W25" s="7">
        <v>10</v>
      </c>
      <c r="X25" s="7">
        <v>10</v>
      </c>
      <c r="Y25" s="7">
        <v>10</v>
      </c>
      <c r="Z25" s="7">
        <v>10</v>
      </c>
      <c r="AA25" s="7">
        <v>10</v>
      </c>
      <c r="AB25" s="7">
        <v>180</v>
      </c>
      <c r="AC25" s="7">
        <v>10</v>
      </c>
      <c r="AD25" s="7">
        <v>10</v>
      </c>
      <c r="AE25" s="7">
        <v>10</v>
      </c>
      <c r="AF25" s="7">
        <v>10</v>
      </c>
      <c r="AG25" s="7">
        <v>10</v>
      </c>
      <c r="AH25" s="7">
        <v>10</v>
      </c>
      <c r="AI25" s="7">
        <v>10</v>
      </c>
      <c r="AJ25" s="7">
        <v>10</v>
      </c>
      <c r="AK25" s="7">
        <v>10</v>
      </c>
      <c r="AL25" s="7">
        <v>10</v>
      </c>
      <c r="AM25" s="7">
        <v>10</v>
      </c>
      <c r="AN25" s="7">
        <v>180</v>
      </c>
      <c r="AO25" s="7">
        <v>10</v>
      </c>
      <c r="AP25" s="7">
        <v>10</v>
      </c>
      <c r="AQ25" s="7">
        <v>10</v>
      </c>
      <c r="AR25" s="7">
        <v>10</v>
      </c>
      <c r="AS25" s="7">
        <v>10</v>
      </c>
      <c r="AT25" s="7">
        <v>180</v>
      </c>
      <c r="AU25" s="7">
        <v>10</v>
      </c>
      <c r="AV25" s="7">
        <v>10</v>
      </c>
      <c r="AW25" s="7">
        <v>10</v>
      </c>
    </row>
    <row r="26" spans="1:49" x14ac:dyDescent="0.35">
      <c r="A26" t="s">
        <v>31</v>
      </c>
      <c r="B26" s="7">
        <v>10</v>
      </c>
      <c r="C26" s="7">
        <v>10</v>
      </c>
      <c r="D26" s="7">
        <v>10</v>
      </c>
      <c r="E26" s="7">
        <v>10</v>
      </c>
      <c r="F26" s="7">
        <v>10</v>
      </c>
      <c r="G26" s="7">
        <v>10</v>
      </c>
      <c r="H26" s="7">
        <v>10</v>
      </c>
      <c r="I26" s="7">
        <v>100</v>
      </c>
      <c r="J26" s="7">
        <v>10</v>
      </c>
      <c r="K26" s="7">
        <v>10</v>
      </c>
      <c r="L26" s="7">
        <v>10</v>
      </c>
      <c r="M26" s="7">
        <v>10</v>
      </c>
      <c r="N26" s="7">
        <v>10</v>
      </c>
      <c r="O26" s="7">
        <v>140</v>
      </c>
      <c r="P26" s="7">
        <v>10</v>
      </c>
      <c r="Q26" s="7">
        <v>10</v>
      </c>
      <c r="R26" s="7">
        <v>10</v>
      </c>
      <c r="S26" s="7">
        <v>10</v>
      </c>
      <c r="T26" s="7">
        <v>10</v>
      </c>
      <c r="U26" s="7">
        <v>10</v>
      </c>
      <c r="V26" s="7">
        <v>140</v>
      </c>
      <c r="W26" s="7">
        <v>10</v>
      </c>
      <c r="X26" s="7">
        <v>10</v>
      </c>
      <c r="Y26" s="7">
        <v>10</v>
      </c>
      <c r="Z26" s="7">
        <v>10</v>
      </c>
      <c r="AA26" s="7">
        <v>10</v>
      </c>
      <c r="AB26" s="7">
        <v>10</v>
      </c>
      <c r="AC26" s="7">
        <v>10</v>
      </c>
      <c r="AD26" s="7">
        <v>10</v>
      </c>
      <c r="AE26" s="7">
        <v>10</v>
      </c>
      <c r="AF26" s="7">
        <v>10</v>
      </c>
      <c r="AG26" s="7">
        <v>10</v>
      </c>
      <c r="AH26" s="7">
        <v>10</v>
      </c>
      <c r="AI26" s="7">
        <v>10</v>
      </c>
      <c r="AJ26" s="7">
        <v>10</v>
      </c>
      <c r="AK26" s="7">
        <v>10</v>
      </c>
      <c r="AL26" s="7">
        <v>10</v>
      </c>
      <c r="AM26" s="7">
        <v>10</v>
      </c>
      <c r="AN26" s="7">
        <v>10</v>
      </c>
      <c r="AO26" s="7">
        <v>10</v>
      </c>
      <c r="AP26" s="7">
        <v>10</v>
      </c>
      <c r="AQ26" s="7">
        <v>10</v>
      </c>
      <c r="AR26" s="7">
        <v>10</v>
      </c>
      <c r="AS26" s="7">
        <v>10</v>
      </c>
      <c r="AT26" s="7">
        <v>10</v>
      </c>
      <c r="AU26" s="7">
        <v>10</v>
      </c>
      <c r="AV26" s="7">
        <v>10</v>
      </c>
      <c r="AW26" s="7">
        <v>10</v>
      </c>
    </row>
    <row r="27" spans="1:49" x14ac:dyDescent="0.35">
      <c r="A27" t="s">
        <v>32</v>
      </c>
      <c r="B27" s="7">
        <v>10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30</v>
      </c>
      <c r="J27" s="7">
        <v>10</v>
      </c>
      <c r="K27" s="7">
        <v>10</v>
      </c>
      <c r="L27" s="7">
        <v>30</v>
      </c>
      <c r="M27" s="7">
        <v>10</v>
      </c>
      <c r="N27" s="7">
        <v>20</v>
      </c>
      <c r="O27" s="7">
        <v>20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  <c r="AD27" s="7">
        <v>10</v>
      </c>
      <c r="AE27" s="7">
        <v>20</v>
      </c>
      <c r="AF27" s="7">
        <v>10</v>
      </c>
      <c r="AG27" s="7">
        <v>10</v>
      </c>
      <c r="AH27" s="7">
        <v>10</v>
      </c>
      <c r="AI27" s="7">
        <v>10</v>
      </c>
      <c r="AJ27" s="7">
        <v>10</v>
      </c>
      <c r="AK27" s="7">
        <v>10</v>
      </c>
      <c r="AL27" s="7">
        <v>10</v>
      </c>
      <c r="AM27" s="7">
        <v>10</v>
      </c>
      <c r="AN27" s="7">
        <v>10</v>
      </c>
      <c r="AO27" s="7">
        <v>10</v>
      </c>
      <c r="AP27" s="7">
        <v>10</v>
      </c>
      <c r="AQ27" s="7">
        <v>10</v>
      </c>
      <c r="AR27" s="7">
        <v>10</v>
      </c>
      <c r="AS27" s="7">
        <v>10</v>
      </c>
      <c r="AT27" s="7">
        <v>10</v>
      </c>
      <c r="AU27" s="7">
        <v>10</v>
      </c>
      <c r="AV27" s="7">
        <v>10</v>
      </c>
      <c r="AW27" s="7">
        <v>10</v>
      </c>
    </row>
    <row r="28" spans="1:49" x14ac:dyDescent="0.35">
      <c r="A28" t="s">
        <v>33</v>
      </c>
      <c r="B28" s="7">
        <v>10</v>
      </c>
      <c r="C28" s="7">
        <v>10</v>
      </c>
      <c r="D28" s="7">
        <v>25</v>
      </c>
      <c r="E28" s="7">
        <v>10</v>
      </c>
      <c r="F28" s="7">
        <v>10</v>
      </c>
      <c r="G28" s="7">
        <v>10</v>
      </c>
      <c r="H28" s="7">
        <v>15</v>
      </c>
      <c r="I28" s="7">
        <v>10</v>
      </c>
      <c r="J28" s="7">
        <v>10</v>
      </c>
      <c r="K28" s="7">
        <v>10</v>
      </c>
      <c r="L28" s="7">
        <v>10</v>
      </c>
      <c r="M28" s="7">
        <v>10</v>
      </c>
      <c r="N28" s="7">
        <v>10</v>
      </c>
      <c r="O28" s="7">
        <v>10</v>
      </c>
      <c r="P28" s="7">
        <v>30</v>
      </c>
      <c r="Q28" s="7">
        <v>26</v>
      </c>
      <c r="R28" s="7">
        <v>10</v>
      </c>
      <c r="S28" s="7">
        <v>10</v>
      </c>
      <c r="T28" s="7">
        <v>10</v>
      </c>
      <c r="U28" s="7">
        <v>10</v>
      </c>
      <c r="V28" s="7">
        <v>34</v>
      </c>
      <c r="W28" s="7">
        <v>10</v>
      </c>
      <c r="X28" s="7">
        <v>10</v>
      </c>
      <c r="Y28" s="7">
        <v>26</v>
      </c>
      <c r="Z28" s="7">
        <v>10</v>
      </c>
      <c r="AA28" s="7">
        <v>10</v>
      </c>
      <c r="AB28" s="7">
        <v>10</v>
      </c>
      <c r="AC28" s="7">
        <v>10</v>
      </c>
      <c r="AD28" s="7">
        <v>10</v>
      </c>
      <c r="AE28" s="7">
        <v>10</v>
      </c>
      <c r="AF28" s="7">
        <v>40</v>
      </c>
      <c r="AG28" s="7">
        <v>26</v>
      </c>
      <c r="AH28" s="7">
        <v>10</v>
      </c>
      <c r="AI28" s="7">
        <v>10</v>
      </c>
      <c r="AJ28" s="7">
        <v>10</v>
      </c>
      <c r="AK28" s="7">
        <v>10</v>
      </c>
      <c r="AL28" s="7">
        <v>10</v>
      </c>
      <c r="AM28" s="7">
        <v>25</v>
      </c>
      <c r="AN28" s="7">
        <v>34</v>
      </c>
      <c r="AO28" s="7">
        <v>40</v>
      </c>
      <c r="AP28" s="7">
        <v>40</v>
      </c>
      <c r="AQ28" s="7">
        <v>10</v>
      </c>
      <c r="AR28" s="7">
        <v>10</v>
      </c>
      <c r="AS28" s="7">
        <v>10</v>
      </c>
      <c r="AT28" s="7">
        <v>10</v>
      </c>
      <c r="AU28" s="7">
        <v>10</v>
      </c>
      <c r="AV28" s="7">
        <v>10</v>
      </c>
      <c r="AW28" s="7">
        <v>26</v>
      </c>
    </row>
    <row r="29" spans="1:49" x14ac:dyDescent="0.35">
      <c r="A29" t="s">
        <v>34</v>
      </c>
      <c r="B29" s="7">
        <v>10</v>
      </c>
      <c r="C29" s="7">
        <v>10</v>
      </c>
      <c r="D29" s="7">
        <v>10</v>
      </c>
      <c r="E29" s="7">
        <v>10</v>
      </c>
      <c r="F29" s="7">
        <v>10</v>
      </c>
      <c r="G29" s="7">
        <v>10</v>
      </c>
      <c r="H29" s="7">
        <v>10</v>
      </c>
      <c r="I29" s="7">
        <v>10</v>
      </c>
      <c r="J29" s="7">
        <v>10</v>
      </c>
      <c r="K29" s="7">
        <v>10</v>
      </c>
      <c r="L29" s="7">
        <v>10</v>
      </c>
      <c r="M29" s="7">
        <v>10</v>
      </c>
      <c r="N29" s="7">
        <v>40</v>
      </c>
      <c r="O29" s="7">
        <v>10</v>
      </c>
      <c r="P29" s="7">
        <v>10</v>
      </c>
      <c r="Q29" s="7">
        <v>10</v>
      </c>
      <c r="R29" s="7">
        <v>10</v>
      </c>
      <c r="S29" s="7">
        <v>10</v>
      </c>
      <c r="T29" s="7">
        <v>10</v>
      </c>
      <c r="U29" s="7">
        <v>10</v>
      </c>
      <c r="V29" s="7">
        <v>10</v>
      </c>
      <c r="W29" s="7">
        <v>10</v>
      </c>
      <c r="X29" s="7">
        <v>10</v>
      </c>
      <c r="Y29" s="7">
        <v>10</v>
      </c>
      <c r="Z29" s="7">
        <v>10</v>
      </c>
      <c r="AA29" s="7">
        <v>10</v>
      </c>
      <c r="AB29" s="7">
        <v>50</v>
      </c>
      <c r="AC29" s="7">
        <v>10</v>
      </c>
      <c r="AD29" s="7">
        <v>10</v>
      </c>
      <c r="AE29" s="7">
        <v>10</v>
      </c>
      <c r="AF29" s="7">
        <v>10</v>
      </c>
      <c r="AG29" s="7">
        <v>10</v>
      </c>
      <c r="AH29" s="7">
        <v>10</v>
      </c>
      <c r="AI29" s="7">
        <v>10</v>
      </c>
      <c r="AJ29" s="7">
        <v>10</v>
      </c>
      <c r="AK29" s="7">
        <v>10</v>
      </c>
      <c r="AL29" s="7">
        <v>60</v>
      </c>
      <c r="AM29" s="7">
        <v>10</v>
      </c>
      <c r="AN29" s="7">
        <v>10</v>
      </c>
      <c r="AO29" s="7">
        <v>10</v>
      </c>
      <c r="AP29" s="7">
        <v>10</v>
      </c>
      <c r="AQ29" s="7">
        <v>10</v>
      </c>
      <c r="AR29" s="7">
        <v>10</v>
      </c>
      <c r="AS29" s="7">
        <v>10</v>
      </c>
      <c r="AT29" s="7">
        <v>80</v>
      </c>
      <c r="AU29" s="7">
        <v>10</v>
      </c>
      <c r="AV29" s="7">
        <v>80</v>
      </c>
      <c r="AW29" s="7">
        <v>10</v>
      </c>
    </row>
    <row r="30" spans="1:49" x14ac:dyDescent="0.35">
      <c r="A30" t="s">
        <v>35</v>
      </c>
      <c r="B30" s="7">
        <v>10</v>
      </c>
      <c r="C30" s="7">
        <v>10</v>
      </c>
      <c r="D30" s="7">
        <v>10</v>
      </c>
      <c r="E30" s="7">
        <v>10</v>
      </c>
      <c r="F30" s="7">
        <v>100</v>
      </c>
      <c r="G30" s="7">
        <v>10</v>
      </c>
      <c r="H30" s="7">
        <v>10</v>
      </c>
      <c r="I30" s="7">
        <v>10</v>
      </c>
      <c r="J30" s="7">
        <v>10</v>
      </c>
      <c r="K30" s="7">
        <v>10</v>
      </c>
      <c r="L30" s="7">
        <v>10</v>
      </c>
      <c r="M30" s="7">
        <v>10</v>
      </c>
      <c r="N30" s="7">
        <v>10</v>
      </c>
      <c r="O30" s="7">
        <v>10</v>
      </c>
      <c r="P30" s="7">
        <v>60</v>
      </c>
      <c r="Q30" s="7">
        <v>10</v>
      </c>
      <c r="R30" s="7">
        <v>10</v>
      </c>
      <c r="S30" s="7">
        <v>10</v>
      </c>
      <c r="T30" s="7">
        <v>10</v>
      </c>
      <c r="U30" s="7">
        <v>10</v>
      </c>
      <c r="V30" s="7">
        <v>40</v>
      </c>
      <c r="W30" s="7">
        <v>10</v>
      </c>
      <c r="X30" s="7">
        <v>30</v>
      </c>
      <c r="Y30" s="7">
        <v>10</v>
      </c>
      <c r="Z30" s="7">
        <v>10</v>
      </c>
      <c r="AA30" s="7">
        <v>10</v>
      </c>
      <c r="AB30" s="7">
        <v>10</v>
      </c>
      <c r="AC30" s="7">
        <v>10</v>
      </c>
      <c r="AD30" s="7">
        <v>10</v>
      </c>
      <c r="AE30" s="7">
        <v>10</v>
      </c>
      <c r="AF30" s="7">
        <v>10</v>
      </c>
      <c r="AG30" s="7">
        <v>100</v>
      </c>
      <c r="AH30" s="7">
        <v>50</v>
      </c>
      <c r="AI30" s="7">
        <v>10</v>
      </c>
      <c r="AJ30" s="7">
        <v>100</v>
      </c>
      <c r="AK30" s="7">
        <v>100</v>
      </c>
      <c r="AL30" s="7">
        <v>50</v>
      </c>
      <c r="AM30" s="7">
        <v>100</v>
      </c>
      <c r="AN30" s="7">
        <v>30</v>
      </c>
      <c r="AO30" s="7">
        <v>10</v>
      </c>
      <c r="AP30" s="7">
        <v>10</v>
      </c>
      <c r="AQ30" s="7">
        <v>10</v>
      </c>
      <c r="AR30" s="7">
        <v>30</v>
      </c>
      <c r="AS30" s="7">
        <v>100</v>
      </c>
      <c r="AT30" s="7">
        <v>10</v>
      </c>
      <c r="AU30" s="7">
        <v>10</v>
      </c>
      <c r="AV30" s="7">
        <v>10</v>
      </c>
      <c r="AW30" s="7">
        <v>10</v>
      </c>
    </row>
    <row r="31" spans="1:49" x14ac:dyDescent="0.35">
      <c r="A31" t="s">
        <v>36</v>
      </c>
      <c r="B31" s="7">
        <v>10</v>
      </c>
      <c r="C31" s="7">
        <v>10</v>
      </c>
      <c r="D31" s="7">
        <v>10</v>
      </c>
      <c r="E31" s="7">
        <v>10</v>
      </c>
      <c r="F31" s="7">
        <v>10</v>
      </c>
      <c r="G31" s="7">
        <v>220</v>
      </c>
      <c r="H31" s="7">
        <v>10</v>
      </c>
      <c r="I31" s="7">
        <v>10</v>
      </c>
      <c r="J31" s="7">
        <v>10</v>
      </c>
      <c r="K31" s="7">
        <v>10</v>
      </c>
      <c r="L31" s="7">
        <v>10</v>
      </c>
      <c r="M31" s="7">
        <v>10</v>
      </c>
      <c r="N31" s="7">
        <v>10</v>
      </c>
      <c r="O31" s="7">
        <v>10</v>
      </c>
      <c r="P31" s="7">
        <v>10</v>
      </c>
      <c r="Q31" s="7">
        <v>10</v>
      </c>
      <c r="R31" s="7">
        <v>10</v>
      </c>
      <c r="S31" s="7">
        <v>10</v>
      </c>
      <c r="T31" s="7">
        <v>10</v>
      </c>
      <c r="U31" s="7">
        <v>180</v>
      </c>
      <c r="V31" s="7">
        <v>10</v>
      </c>
      <c r="W31" s="7">
        <v>10</v>
      </c>
      <c r="X31" s="7">
        <v>10</v>
      </c>
      <c r="Y31" s="7">
        <v>10</v>
      </c>
      <c r="Z31" s="7">
        <v>10</v>
      </c>
      <c r="AA31" s="7">
        <v>10</v>
      </c>
      <c r="AB31" s="7">
        <v>10</v>
      </c>
      <c r="AC31" s="7">
        <v>10</v>
      </c>
      <c r="AD31" s="7">
        <v>10</v>
      </c>
      <c r="AE31" s="7">
        <v>10</v>
      </c>
      <c r="AF31" s="7">
        <v>10</v>
      </c>
      <c r="AG31" s="7">
        <v>10</v>
      </c>
      <c r="AH31" s="7">
        <v>10</v>
      </c>
      <c r="AI31" s="7">
        <v>10</v>
      </c>
      <c r="AJ31" s="7">
        <v>10</v>
      </c>
      <c r="AK31" s="7">
        <v>10</v>
      </c>
      <c r="AL31" s="7">
        <v>160</v>
      </c>
      <c r="AM31" s="7">
        <v>10</v>
      </c>
      <c r="AN31" s="7">
        <v>10</v>
      </c>
      <c r="AO31" s="7">
        <v>10</v>
      </c>
      <c r="AP31" s="7">
        <v>10</v>
      </c>
      <c r="AQ31" s="7">
        <v>10</v>
      </c>
      <c r="AR31" s="7">
        <v>10</v>
      </c>
      <c r="AS31" s="7">
        <v>10</v>
      </c>
      <c r="AT31" s="7">
        <v>10</v>
      </c>
      <c r="AU31" s="7">
        <v>10</v>
      </c>
      <c r="AV31" s="7">
        <v>10</v>
      </c>
      <c r="AW31" s="7">
        <v>10</v>
      </c>
    </row>
    <row r="32" spans="1:49" x14ac:dyDescent="0.35">
      <c r="A32" t="s">
        <v>37</v>
      </c>
      <c r="B32" s="7">
        <v>10</v>
      </c>
      <c r="C32" s="7">
        <v>200</v>
      </c>
      <c r="D32" s="7">
        <v>10</v>
      </c>
      <c r="E32" s="7">
        <v>10</v>
      </c>
      <c r="F32" s="7">
        <v>10</v>
      </c>
      <c r="G32" s="7">
        <v>10</v>
      </c>
      <c r="H32" s="7">
        <v>300</v>
      </c>
      <c r="I32" s="7">
        <v>10</v>
      </c>
      <c r="J32" s="7">
        <v>10</v>
      </c>
      <c r="K32" s="7">
        <v>10</v>
      </c>
      <c r="L32" s="7">
        <v>300</v>
      </c>
      <c r="M32" s="7">
        <v>10</v>
      </c>
      <c r="N32" s="7">
        <v>40</v>
      </c>
      <c r="O32" s="7">
        <v>10</v>
      </c>
      <c r="P32" s="7">
        <v>10</v>
      </c>
      <c r="Q32" s="7">
        <v>10</v>
      </c>
      <c r="R32" s="7">
        <v>10</v>
      </c>
      <c r="S32" s="7">
        <v>10</v>
      </c>
      <c r="T32" s="7">
        <v>10</v>
      </c>
      <c r="U32" s="7">
        <v>40</v>
      </c>
      <c r="V32" s="7">
        <v>10</v>
      </c>
      <c r="W32" s="7">
        <v>10</v>
      </c>
      <c r="X32" s="7">
        <v>10</v>
      </c>
      <c r="Y32" s="7">
        <v>20</v>
      </c>
      <c r="Z32" s="7">
        <v>10</v>
      </c>
      <c r="AA32" s="7">
        <v>10</v>
      </c>
      <c r="AB32" s="7">
        <v>10</v>
      </c>
      <c r="AC32" s="7">
        <v>10</v>
      </c>
      <c r="AD32" s="7">
        <v>10</v>
      </c>
      <c r="AE32" s="7">
        <v>10</v>
      </c>
      <c r="AF32" s="7">
        <v>10</v>
      </c>
      <c r="AG32" s="7">
        <v>10</v>
      </c>
      <c r="AH32" s="7">
        <v>10</v>
      </c>
      <c r="AI32" s="7">
        <v>10</v>
      </c>
      <c r="AJ32" s="7">
        <v>10</v>
      </c>
      <c r="AK32" s="7">
        <v>10</v>
      </c>
      <c r="AL32" s="7">
        <v>10</v>
      </c>
      <c r="AM32" s="7">
        <v>10</v>
      </c>
      <c r="AN32" s="7">
        <v>700</v>
      </c>
      <c r="AO32" s="7">
        <v>10</v>
      </c>
      <c r="AP32" s="7">
        <v>10</v>
      </c>
      <c r="AQ32" s="7">
        <v>10</v>
      </c>
      <c r="AR32" s="7">
        <v>10</v>
      </c>
      <c r="AS32" s="7">
        <v>10</v>
      </c>
      <c r="AT32" s="7">
        <v>40</v>
      </c>
      <c r="AU32" s="7">
        <v>40</v>
      </c>
      <c r="AV32" s="7">
        <v>10</v>
      </c>
      <c r="AW32" s="7">
        <v>10</v>
      </c>
    </row>
    <row r="33" spans="1:49" x14ac:dyDescent="0.35">
      <c r="A33" t="s">
        <v>38</v>
      </c>
      <c r="B33" s="7">
        <v>10</v>
      </c>
      <c r="C33" s="7">
        <v>10</v>
      </c>
      <c r="D33" s="7">
        <v>100</v>
      </c>
      <c r="E33" s="7">
        <v>10</v>
      </c>
      <c r="F33" s="7">
        <v>10</v>
      </c>
      <c r="G33" s="7">
        <v>10</v>
      </c>
      <c r="H33" s="7">
        <v>10</v>
      </c>
      <c r="I33" s="7">
        <v>10</v>
      </c>
      <c r="J33" s="7">
        <v>10</v>
      </c>
      <c r="K33" s="7">
        <v>10</v>
      </c>
      <c r="L33" s="7">
        <v>10</v>
      </c>
      <c r="M33" s="7">
        <v>10</v>
      </c>
      <c r="N33" s="7">
        <v>10</v>
      </c>
      <c r="O33" s="7">
        <v>10</v>
      </c>
      <c r="P33" s="7">
        <v>10</v>
      </c>
      <c r="Q33" s="7">
        <v>10</v>
      </c>
      <c r="R33" s="7">
        <v>10</v>
      </c>
      <c r="S33" s="7">
        <v>10</v>
      </c>
      <c r="T33" s="7">
        <v>10</v>
      </c>
      <c r="U33" s="7">
        <v>10</v>
      </c>
      <c r="V33" s="7">
        <v>30</v>
      </c>
      <c r="W33" s="7">
        <v>10</v>
      </c>
      <c r="X33" s="7">
        <v>10</v>
      </c>
      <c r="Y33" s="7">
        <v>10</v>
      </c>
      <c r="Z33" s="7">
        <v>10</v>
      </c>
      <c r="AA33" s="7">
        <v>10</v>
      </c>
      <c r="AB33" s="7">
        <v>10</v>
      </c>
      <c r="AC33" s="7">
        <v>10</v>
      </c>
      <c r="AD33" s="7">
        <v>10</v>
      </c>
      <c r="AE33" s="7">
        <v>10</v>
      </c>
      <c r="AF33" s="7">
        <v>10</v>
      </c>
      <c r="AG33" s="7">
        <v>100</v>
      </c>
      <c r="AH33" s="7">
        <v>100</v>
      </c>
      <c r="AI33" s="7">
        <v>10</v>
      </c>
      <c r="AJ33" s="7">
        <v>10</v>
      </c>
      <c r="AK33" s="7">
        <v>10</v>
      </c>
      <c r="AL33" s="7">
        <v>10</v>
      </c>
      <c r="AM33" s="7">
        <v>10</v>
      </c>
      <c r="AN33" s="7">
        <v>10</v>
      </c>
      <c r="AO33" s="7">
        <v>10</v>
      </c>
      <c r="AP33" s="7">
        <v>10</v>
      </c>
      <c r="AQ33" s="7">
        <v>10</v>
      </c>
      <c r="AR33" s="7">
        <v>10</v>
      </c>
      <c r="AS33" s="7">
        <v>10</v>
      </c>
      <c r="AT33" s="7">
        <v>10</v>
      </c>
      <c r="AU33" s="7">
        <v>200</v>
      </c>
      <c r="AV33" s="7">
        <v>20</v>
      </c>
      <c r="AW33" s="7">
        <v>50</v>
      </c>
    </row>
    <row r="34" spans="1:49" x14ac:dyDescent="0.35">
      <c r="A34" t="s">
        <v>39</v>
      </c>
      <c r="B34" s="7">
        <v>10</v>
      </c>
      <c r="C34" s="7">
        <v>10</v>
      </c>
      <c r="D34" s="7">
        <v>10</v>
      </c>
      <c r="E34" s="7">
        <v>10</v>
      </c>
      <c r="F34" s="7">
        <v>10</v>
      </c>
      <c r="G34" s="7">
        <v>10</v>
      </c>
      <c r="H34" s="7">
        <v>10</v>
      </c>
      <c r="I34" s="7">
        <v>25</v>
      </c>
      <c r="J34" s="7">
        <v>10</v>
      </c>
      <c r="K34" s="7">
        <v>10</v>
      </c>
      <c r="L34" s="7">
        <v>10</v>
      </c>
      <c r="M34" s="7">
        <v>10</v>
      </c>
      <c r="N34" s="7">
        <v>10</v>
      </c>
      <c r="O34" s="7">
        <v>36</v>
      </c>
      <c r="P34" s="7">
        <v>10</v>
      </c>
      <c r="Q34" s="7">
        <v>10</v>
      </c>
      <c r="R34" s="7">
        <v>10</v>
      </c>
      <c r="S34" s="7">
        <v>10</v>
      </c>
      <c r="T34" s="7">
        <v>25</v>
      </c>
      <c r="U34" s="7">
        <v>10</v>
      </c>
      <c r="V34" s="7">
        <v>10</v>
      </c>
      <c r="W34" s="7">
        <v>10</v>
      </c>
      <c r="X34" s="7">
        <v>10</v>
      </c>
      <c r="Y34" s="7">
        <v>10</v>
      </c>
      <c r="Z34" s="7">
        <v>25</v>
      </c>
      <c r="AA34" s="7">
        <v>10</v>
      </c>
      <c r="AB34" s="7">
        <v>10</v>
      </c>
      <c r="AC34" s="7">
        <v>10</v>
      </c>
      <c r="AD34" s="7">
        <v>25</v>
      </c>
      <c r="AE34" s="7">
        <v>10</v>
      </c>
      <c r="AF34" s="7">
        <v>10</v>
      </c>
      <c r="AG34" s="7">
        <v>10</v>
      </c>
      <c r="AH34" s="7">
        <v>36</v>
      </c>
      <c r="AI34" s="7">
        <v>10</v>
      </c>
      <c r="AJ34" s="7">
        <v>40</v>
      </c>
      <c r="AK34" s="7">
        <v>10</v>
      </c>
      <c r="AL34" s="7">
        <v>42</v>
      </c>
      <c r="AM34" s="7">
        <v>10</v>
      </c>
      <c r="AN34" s="7">
        <v>10</v>
      </c>
      <c r="AO34" s="7">
        <v>10</v>
      </c>
      <c r="AP34" s="7">
        <v>10</v>
      </c>
      <c r="AQ34" s="7">
        <v>10</v>
      </c>
      <c r="AR34" s="7">
        <v>42</v>
      </c>
      <c r="AS34" s="7">
        <v>10</v>
      </c>
      <c r="AT34" s="7">
        <v>10</v>
      </c>
      <c r="AU34" s="7">
        <v>10</v>
      </c>
      <c r="AV34" s="7">
        <v>10</v>
      </c>
      <c r="AW34" s="7">
        <v>10</v>
      </c>
    </row>
    <row r="35" spans="1:49" x14ac:dyDescent="0.35">
      <c r="A35" t="s">
        <v>40</v>
      </c>
      <c r="B35" s="7">
        <v>10</v>
      </c>
      <c r="C35" s="7">
        <v>10</v>
      </c>
      <c r="D35" s="7">
        <v>10</v>
      </c>
      <c r="E35" s="7">
        <v>40</v>
      </c>
      <c r="F35" s="7">
        <v>10</v>
      </c>
      <c r="G35" s="7">
        <v>10</v>
      </c>
      <c r="H35" s="7">
        <v>10</v>
      </c>
      <c r="I35" s="7">
        <v>10</v>
      </c>
      <c r="J35" s="7">
        <v>10</v>
      </c>
      <c r="K35" s="7">
        <v>10</v>
      </c>
      <c r="L35" s="7">
        <v>10</v>
      </c>
      <c r="M35" s="7">
        <v>10</v>
      </c>
      <c r="N35" s="7">
        <v>10</v>
      </c>
      <c r="O35" s="7">
        <v>38</v>
      </c>
      <c r="P35" s="7">
        <v>10</v>
      </c>
      <c r="Q35" s="7">
        <v>10</v>
      </c>
      <c r="R35" s="7">
        <v>10</v>
      </c>
      <c r="S35" s="7">
        <v>25</v>
      </c>
      <c r="T35" s="7">
        <v>10</v>
      </c>
      <c r="U35" s="7">
        <v>10</v>
      </c>
      <c r="V35" s="7">
        <v>10</v>
      </c>
      <c r="W35" s="7">
        <v>10</v>
      </c>
      <c r="X35" s="7">
        <v>10</v>
      </c>
      <c r="Y35" s="7">
        <v>10</v>
      </c>
      <c r="Z35" s="7">
        <v>10</v>
      </c>
      <c r="AA35" s="7">
        <v>10</v>
      </c>
      <c r="AB35" s="7">
        <v>10</v>
      </c>
      <c r="AC35" s="7">
        <v>10</v>
      </c>
      <c r="AD35" s="7">
        <v>10</v>
      </c>
      <c r="AE35" s="7">
        <v>28</v>
      </c>
      <c r="AF35" s="7">
        <v>10</v>
      </c>
      <c r="AG35" s="7">
        <v>10</v>
      </c>
      <c r="AH35" s="7">
        <v>38</v>
      </c>
      <c r="AI35" s="7">
        <v>10</v>
      </c>
      <c r="AJ35" s="7">
        <v>42</v>
      </c>
      <c r="AK35" s="7">
        <v>10</v>
      </c>
      <c r="AL35" s="7">
        <v>46</v>
      </c>
      <c r="AM35" s="7">
        <v>10</v>
      </c>
      <c r="AN35" s="7">
        <v>10</v>
      </c>
      <c r="AO35" s="7">
        <v>10</v>
      </c>
      <c r="AP35" s="7">
        <v>10</v>
      </c>
      <c r="AQ35" s="7">
        <v>10</v>
      </c>
      <c r="AR35" s="7">
        <v>36</v>
      </c>
      <c r="AS35" s="7">
        <v>10</v>
      </c>
      <c r="AT35" s="7">
        <v>10</v>
      </c>
      <c r="AU35" s="7">
        <v>10</v>
      </c>
      <c r="AV35" s="7">
        <v>10</v>
      </c>
      <c r="AW35" s="7">
        <v>10</v>
      </c>
    </row>
    <row r="36" spans="1:49" x14ac:dyDescent="0.35">
      <c r="A36" t="s">
        <v>41</v>
      </c>
      <c r="B36" s="7">
        <v>10</v>
      </c>
      <c r="C36" s="7">
        <v>10</v>
      </c>
      <c r="D36" s="7">
        <v>10</v>
      </c>
      <c r="E36" s="7">
        <v>10</v>
      </c>
      <c r="F36" s="7">
        <v>10</v>
      </c>
      <c r="G36" s="7">
        <v>10</v>
      </c>
      <c r="H36" s="7">
        <v>40</v>
      </c>
      <c r="I36" s="7">
        <v>10</v>
      </c>
      <c r="J36" s="7">
        <v>10</v>
      </c>
      <c r="K36" s="7">
        <v>10</v>
      </c>
      <c r="L36" s="7">
        <v>10</v>
      </c>
      <c r="M36" s="7">
        <v>10</v>
      </c>
      <c r="N36" s="7">
        <v>10</v>
      </c>
      <c r="O36" s="7">
        <v>10</v>
      </c>
      <c r="P36" s="7">
        <v>10</v>
      </c>
      <c r="Q36" s="7">
        <v>10</v>
      </c>
      <c r="R36" s="7">
        <v>10</v>
      </c>
      <c r="S36" s="7">
        <v>10</v>
      </c>
      <c r="T36" s="7">
        <v>10</v>
      </c>
      <c r="U36" s="7">
        <v>10</v>
      </c>
      <c r="V36" s="7">
        <v>10</v>
      </c>
      <c r="W36" s="7">
        <v>10</v>
      </c>
      <c r="X36" s="7">
        <v>10</v>
      </c>
      <c r="Y36" s="7">
        <v>100</v>
      </c>
      <c r="Z36" s="7">
        <v>10</v>
      </c>
      <c r="AA36" s="7">
        <v>30</v>
      </c>
      <c r="AB36" s="7">
        <v>10</v>
      </c>
      <c r="AC36" s="7">
        <v>10</v>
      </c>
      <c r="AD36" s="7">
        <v>10</v>
      </c>
      <c r="AE36" s="7">
        <v>10</v>
      </c>
      <c r="AF36" s="7">
        <v>10</v>
      </c>
      <c r="AG36" s="7">
        <v>10</v>
      </c>
      <c r="AH36" s="7">
        <v>10</v>
      </c>
      <c r="AI36" s="7">
        <v>10</v>
      </c>
      <c r="AJ36" s="7">
        <v>10</v>
      </c>
      <c r="AK36" s="7">
        <v>10</v>
      </c>
      <c r="AL36" s="7">
        <v>10</v>
      </c>
      <c r="AM36" s="7">
        <v>10</v>
      </c>
      <c r="AN36" s="7">
        <v>10</v>
      </c>
      <c r="AO36" s="7">
        <v>10</v>
      </c>
      <c r="AP36" s="7">
        <v>10</v>
      </c>
      <c r="AQ36" s="7">
        <v>10</v>
      </c>
      <c r="AR36" s="7">
        <v>10</v>
      </c>
      <c r="AS36" s="7">
        <v>10</v>
      </c>
      <c r="AT36" s="7">
        <v>10</v>
      </c>
      <c r="AU36" s="7">
        <v>10</v>
      </c>
      <c r="AV36" s="7">
        <v>10</v>
      </c>
      <c r="AW36" s="7">
        <v>10</v>
      </c>
    </row>
    <row r="37" spans="1:49" x14ac:dyDescent="0.35">
      <c r="A37" t="s">
        <v>42</v>
      </c>
      <c r="B37" s="7">
        <v>30</v>
      </c>
      <c r="C37" s="7">
        <v>10</v>
      </c>
      <c r="D37" s="7">
        <v>10</v>
      </c>
      <c r="E37" s="7">
        <v>10</v>
      </c>
      <c r="F37" s="7">
        <v>50</v>
      </c>
      <c r="G37" s="7">
        <v>10</v>
      </c>
      <c r="H37" s="7">
        <v>10</v>
      </c>
      <c r="I37" s="7">
        <v>10</v>
      </c>
      <c r="J37" s="7">
        <v>10</v>
      </c>
      <c r="K37" s="7">
        <v>10</v>
      </c>
      <c r="L37" s="7">
        <v>10</v>
      </c>
      <c r="M37" s="7">
        <v>10</v>
      </c>
      <c r="N37" s="7">
        <v>10</v>
      </c>
      <c r="O37" s="7">
        <v>10</v>
      </c>
      <c r="P37" s="7">
        <v>10</v>
      </c>
      <c r="Q37" s="7">
        <v>10</v>
      </c>
      <c r="R37" s="7">
        <v>10</v>
      </c>
      <c r="S37" s="7">
        <v>10</v>
      </c>
      <c r="T37" s="7">
        <v>10</v>
      </c>
      <c r="U37" s="7">
        <v>10</v>
      </c>
      <c r="V37" s="7">
        <v>50</v>
      </c>
      <c r="W37" s="7">
        <v>10</v>
      </c>
      <c r="X37" s="7">
        <v>20</v>
      </c>
      <c r="Y37" s="7">
        <v>10</v>
      </c>
      <c r="Z37" s="7">
        <v>10</v>
      </c>
      <c r="AA37" s="7">
        <v>10</v>
      </c>
      <c r="AB37" s="7">
        <v>50</v>
      </c>
      <c r="AC37" s="7">
        <v>10</v>
      </c>
      <c r="AD37" s="7">
        <v>10</v>
      </c>
      <c r="AE37" s="7">
        <v>10</v>
      </c>
      <c r="AF37" s="7">
        <v>10</v>
      </c>
      <c r="AG37" s="7">
        <v>10</v>
      </c>
      <c r="AH37" s="7">
        <v>10</v>
      </c>
      <c r="AI37" s="7">
        <v>10</v>
      </c>
      <c r="AJ37" s="7">
        <v>10</v>
      </c>
      <c r="AK37" s="7">
        <v>50</v>
      </c>
      <c r="AL37" s="7">
        <v>30</v>
      </c>
      <c r="AM37" s="7">
        <v>10</v>
      </c>
      <c r="AN37" s="7">
        <v>10</v>
      </c>
      <c r="AO37" s="7">
        <v>30</v>
      </c>
      <c r="AP37" s="7">
        <v>10</v>
      </c>
      <c r="AQ37" s="7">
        <v>10</v>
      </c>
      <c r="AR37" s="7">
        <v>10</v>
      </c>
      <c r="AS37" s="7">
        <v>10</v>
      </c>
      <c r="AT37" s="7">
        <v>10</v>
      </c>
      <c r="AU37" s="7">
        <v>10</v>
      </c>
      <c r="AV37" s="7">
        <v>10</v>
      </c>
      <c r="AW37" s="7">
        <v>10</v>
      </c>
    </row>
    <row r="38" spans="1:49" x14ac:dyDescent="0.35">
      <c r="A38" t="s">
        <v>43</v>
      </c>
      <c r="B38" s="7">
        <v>10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180</v>
      </c>
      <c r="AD38" s="7">
        <v>10</v>
      </c>
      <c r="AE38" s="7">
        <v>10</v>
      </c>
      <c r="AF38" s="7">
        <v>10</v>
      </c>
      <c r="AG38" s="7">
        <v>10</v>
      </c>
      <c r="AH38" s="7">
        <v>120</v>
      </c>
      <c r="AI38" s="7">
        <v>180</v>
      </c>
      <c r="AJ38" s="7">
        <v>140</v>
      </c>
      <c r="AK38" s="7">
        <v>140</v>
      </c>
      <c r="AL38" s="7">
        <v>10</v>
      </c>
      <c r="AM38" s="7">
        <v>10</v>
      </c>
      <c r="AN38" s="7">
        <v>10</v>
      </c>
      <c r="AO38" s="7">
        <v>10</v>
      </c>
      <c r="AP38" s="7">
        <v>10</v>
      </c>
      <c r="AQ38" s="7">
        <v>10</v>
      </c>
      <c r="AR38" s="7">
        <v>10</v>
      </c>
      <c r="AS38" s="7">
        <v>10</v>
      </c>
      <c r="AT38" s="7">
        <v>10</v>
      </c>
      <c r="AU38" s="7">
        <v>10</v>
      </c>
      <c r="AV38" s="7">
        <v>10</v>
      </c>
      <c r="AW38" s="7">
        <v>10</v>
      </c>
    </row>
    <row r="39" spans="1:49" x14ac:dyDescent="0.35">
      <c r="A39" t="s">
        <v>44</v>
      </c>
      <c r="B39" s="7">
        <v>10</v>
      </c>
      <c r="C39" s="7">
        <v>10</v>
      </c>
      <c r="D39" s="7">
        <v>10</v>
      </c>
      <c r="E39" s="7">
        <v>10</v>
      </c>
      <c r="F39" s="7">
        <v>10</v>
      </c>
      <c r="G39" s="7">
        <v>10</v>
      </c>
      <c r="H39" s="7">
        <v>10</v>
      </c>
      <c r="I39" s="7">
        <v>10</v>
      </c>
      <c r="J39" s="7">
        <v>10</v>
      </c>
      <c r="K39" s="7">
        <v>10</v>
      </c>
      <c r="L39" s="7">
        <v>10</v>
      </c>
      <c r="M39" s="7">
        <v>10</v>
      </c>
      <c r="N39" s="7">
        <v>10</v>
      </c>
      <c r="O39" s="7">
        <v>10</v>
      </c>
      <c r="P39" s="7">
        <v>10</v>
      </c>
      <c r="Q39" s="7">
        <v>10</v>
      </c>
      <c r="R39" s="7">
        <v>10</v>
      </c>
      <c r="S39" s="7">
        <v>10</v>
      </c>
      <c r="T39" s="7">
        <v>10</v>
      </c>
      <c r="U39" s="7">
        <v>10</v>
      </c>
      <c r="V39" s="7">
        <v>10</v>
      </c>
      <c r="W39" s="7">
        <v>10</v>
      </c>
      <c r="X39" s="7">
        <v>40</v>
      </c>
      <c r="Y39" s="7">
        <v>10</v>
      </c>
      <c r="Z39" s="7">
        <v>10</v>
      </c>
      <c r="AA39" s="7">
        <v>10</v>
      </c>
      <c r="AB39" s="7">
        <v>10</v>
      </c>
      <c r="AC39" s="7">
        <v>10</v>
      </c>
      <c r="AD39" s="7">
        <v>10</v>
      </c>
      <c r="AE39" s="7">
        <v>10</v>
      </c>
      <c r="AF39" s="7">
        <v>10</v>
      </c>
      <c r="AG39" s="7">
        <v>10</v>
      </c>
      <c r="AH39" s="7">
        <v>10</v>
      </c>
      <c r="AI39" s="7">
        <v>10</v>
      </c>
      <c r="AJ39" s="7">
        <v>10</v>
      </c>
      <c r="AK39" s="7">
        <v>40</v>
      </c>
      <c r="AL39" s="7">
        <v>10</v>
      </c>
      <c r="AM39" s="7">
        <v>10</v>
      </c>
      <c r="AN39" s="7">
        <v>10</v>
      </c>
      <c r="AO39" s="7">
        <v>10</v>
      </c>
      <c r="AP39" s="7">
        <v>30</v>
      </c>
      <c r="AQ39" s="7">
        <v>10</v>
      </c>
      <c r="AR39" s="7">
        <v>10</v>
      </c>
      <c r="AS39" s="7">
        <v>10</v>
      </c>
      <c r="AT39" s="7">
        <v>10</v>
      </c>
      <c r="AU39" s="7">
        <v>10</v>
      </c>
      <c r="AV39" s="7">
        <v>10</v>
      </c>
      <c r="AW39" s="7">
        <v>250</v>
      </c>
    </row>
    <row r="40" spans="1:49" x14ac:dyDescent="0.35">
      <c r="A40" t="s">
        <v>45</v>
      </c>
      <c r="B40" s="7">
        <v>10</v>
      </c>
      <c r="C40" s="7">
        <v>10</v>
      </c>
      <c r="D40" s="7">
        <v>10</v>
      </c>
      <c r="E40" s="7">
        <v>10</v>
      </c>
      <c r="F40" s="7">
        <v>100</v>
      </c>
      <c r="G40" s="7">
        <v>10</v>
      </c>
      <c r="H40" s="7">
        <v>10</v>
      </c>
      <c r="I40" s="7">
        <v>10</v>
      </c>
      <c r="J40" s="7">
        <v>10</v>
      </c>
      <c r="K40" s="7">
        <v>10</v>
      </c>
      <c r="L40" s="7">
        <v>10</v>
      </c>
      <c r="M40" s="7">
        <v>10</v>
      </c>
      <c r="N40" s="7">
        <v>10</v>
      </c>
      <c r="O40" s="7">
        <v>10</v>
      </c>
      <c r="P40" s="7">
        <v>10</v>
      </c>
      <c r="Q40" s="7">
        <v>10</v>
      </c>
      <c r="R40" s="7">
        <v>10</v>
      </c>
      <c r="S40" s="7">
        <v>10</v>
      </c>
      <c r="T40" s="7">
        <v>10</v>
      </c>
      <c r="U40" s="7">
        <v>10</v>
      </c>
      <c r="V40" s="7">
        <v>40</v>
      </c>
      <c r="W40" s="7">
        <v>10</v>
      </c>
      <c r="X40" s="7">
        <v>30</v>
      </c>
      <c r="Y40" s="7">
        <v>10</v>
      </c>
      <c r="Z40" s="7">
        <v>10</v>
      </c>
      <c r="AA40" s="7">
        <v>10</v>
      </c>
      <c r="AB40" s="7">
        <v>10</v>
      </c>
      <c r="AC40" s="7">
        <v>10</v>
      </c>
      <c r="AD40" s="7">
        <v>10</v>
      </c>
      <c r="AE40" s="7">
        <v>10</v>
      </c>
      <c r="AF40" s="7">
        <v>10</v>
      </c>
      <c r="AG40" s="7">
        <v>50</v>
      </c>
      <c r="AH40" s="7">
        <v>50</v>
      </c>
      <c r="AI40" s="7">
        <v>30</v>
      </c>
      <c r="AJ40" s="7">
        <v>100</v>
      </c>
      <c r="AK40" s="7">
        <v>100</v>
      </c>
      <c r="AL40" s="7">
        <v>50</v>
      </c>
      <c r="AM40" s="7">
        <v>100</v>
      </c>
      <c r="AN40" s="7">
        <v>10</v>
      </c>
      <c r="AO40" s="7">
        <v>10</v>
      </c>
      <c r="AP40" s="7">
        <v>10</v>
      </c>
      <c r="AQ40" s="7">
        <v>10</v>
      </c>
      <c r="AR40" s="7">
        <v>100</v>
      </c>
      <c r="AS40" s="7">
        <v>100</v>
      </c>
      <c r="AT40" s="7">
        <v>10</v>
      </c>
      <c r="AU40" s="7">
        <v>10</v>
      </c>
      <c r="AV40" s="7">
        <v>10</v>
      </c>
      <c r="AW40" s="7">
        <v>10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CAF0B-ED15-4CB8-A62B-CB45A7C7D4F8}">
  <sheetPr codeName="Tabelle3"/>
  <dimension ref="A1:AS40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2.453125" bestFit="1" customWidth="1"/>
    <col min="2" max="2" width="14.453125" bestFit="1" customWidth="1"/>
    <col min="3" max="3" width="18" bestFit="1" customWidth="1"/>
    <col min="4" max="4" width="20.1796875" bestFit="1" customWidth="1"/>
    <col min="5" max="5" width="13.26953125" bestFit="1" customWidth="1"/>
    <col min="6" max="6" width="15.90625" bestFit="1" customWidth="1"/>
    <col min="7" max="7" width="13.26953125" bestFit="1" customWidth="1"/>
    <col min="8" max="8" width="14.90625" bestFit="1" customWidth="1"/>
    <col min="9" max="9" width="17.54296875" bestFit="1" customWidth="1"/>
    <col min="10" max="10" width="20.7265625" bestFit="1" customWidth="1"/>
    <col min="11" max="11" width="13.26953125" bestFit="1" customWidth="1"/>
    <col min="12" max="12" width="9.453125" bestFit="1" customWidth="1"/>
    <col min="13" max="13" width="18.08984375" bestFit="1" customWidth="1"/>
    <col min="14" max="14" width="13.90625" bestFit="1" customWidth="1"/>
    <col min="15" max="15" width="11.6328125" bestFit="1" customWidth="1"/>
    <col min="16" max="16" width="17.90625" bestFit="1" customWidth="1"/>
    <col min="17" max="17" width="23.453125" bestFit="1" customWidth="1"/>
    <col min="18" max="18" width="20.6328125" bestFit="1" customWidth="1"/>
    <col min="19" max="19" width="20.54296875" bestFit="1" customWidth="1"/>
    <col min="20" max="20" width="16.26953125" bestFit="1" customWidth="1"/>
    <col min="21" max="21" width="11.08984375" bestFit="1" customWidth="1"/>
    <col min="22" max="22" width="16.7265625" bestFit="1" customWidth="1"/>
    <col min="23" max="23" width="18.26953125" bestFit="1" customWidth="1"/>
    <col min="24" max="24" width="21.26953125" bestFit="1" customWidth="1"/>
    <col min="25" max="25" width="19.81640625" bestFit="1" customWidth="1"/>
    <col min="26" max="26" width="16.08984375" bestFit="1" customWidth="1"/>
    <col min="27" max="27" width="17.26953125" bestFit="1" customWidth="1"/>
    <col min="28" max="28" width="19.1796875" bestFit="1" customWidth="1"/>
    <col min="29" max="29" width="18.08984375" bestFit="1" customWidth="1"/>
    <col min="30" max="30" width="11.6328125" bestFit="1" customWidth="1"/>
    <col min="31" max="31" width="18.26953125" bestFit="1" customWidth="1"/>
    <col min="32" max="32" width="14.08984375" bestFit="1" customWidth="1"/>
    <col min="33" max="33" width="15" bestFit="1" customWidth="1"/>
    <col min="34" max="34" width="16.1796875" bestFit="1" customWidth="1"/>
    <col min="35" max="35" width="18.6328125" bestFit="1" customWidth="1"/>
    <col min="36" max="36" width="23.1796875" bestFit="1" customWidth="1"/>
    <col min="37" max="37" width="17.81640625" bestFit="1" customWidth="1"/>
    <col min="38" max="38" width="16" bestFit="1" customWidth="1"/>
    <col min="39" max="39" width="17.36328125" bestFit="1" customWidth="1"/>
    <col min="40" max="40" width="14.81640625" bestFit="1" customWidth="1"/>
    <col min="41" max="41" width="17.36328125" bestFit="1" customWidth="1"/>
    <col min="42" max="42" width="15.54296875" bestFit="1" customWidth="1"/>
    <col min="43" max="43" width="11" bestFit="1" customWidth="1"/>
    <col min="44" max="44" width="18.54296875" bestFit="1" customWidth="1"/>
    <col min="45" max="45" width="15.54296875" bestFit="1" customWidth="1"/>
  </cols>
  <sheetData>
    <row r="1" spans="1:45" x14ac:dyDescent="0.35">
      <c r="A1" s="2" t="s">
        <v>0</v>
      </c>
      <c r="B1" s="2" t="s">
        <v>100</v>
      </c>
      <c r="C1" s="2" t="s">
        <v>101</v>
      </c>
      <c r="D1" s="2" t="s">
        <v>102</v>
      </c>
      <c r="E1" s="2" t="s">
        <v>103</v>
      </c>
      <c r="F1" s="2" t="s">
        <v>104</v>
      </c>
      <c r="G1" s="2" t="s">
        <v>105</v>
      </c>
      <c r="H1" s="2" t="s">
        <v>106</v>
      </c>
      <c r="I1" s="2" t="s">
        <v>107</v>
      </c>
      <c r="J1" s="2" t="s">
        <v>108</v>
      </c>
      <c r="K1" s="2" t="s">
        <v>109</v>
      </c>
      <c r="L1" s="2" t="s">
        <v>110</v>
      </c>
      <c r="M1" s="2" t="s">
        <v>111</v>
      </c>
      <c r="N1" s="2" t="s">
        <v>112</v>
      </c>
      <c r="O1" s="2" t="s">
        <v>113</v>
      </c>
      <c r="P1" s="2" t="s">
        <v>114</v>
      </c>
      <c r="Q1" s="2" t="s">
        <v>115</v>
      </c>
      <c r="R1" s="2" t="s">
        <v>116</v>
      </c>
      <c r="S1" s="2" t="s">
        <v>117</v>
      </c>
      <c r="T1" s="2" t="s">
        <v>118</v>
      </c>
      <c r="U1" s="2" t="s">
        <v>119</v>
      </c>
      <c r="V1" s="2" t="s">
        <v>120</v>
      </c>
      <c r="W1" s="2" t="s">
        <v>121</v>
      </c>
      <c r="X1" s="2" t="s">
        <v>122</v>
      </c>
      <c r="Y1" s="2" t="s">
        <v>123</v>
      </c>
      <c r="Z1" s="2" t="s">
        <v>124</v>
      </c>
      <c r="AA1" s="2" t="s">
        <v>125</v>
      </c>
      <c r="AB1" s="2" t="s">
        <v>126</v>
      </c>
      <c r="AC1" s="2" t="s">
        <v>127</v>
      </c>
      <c r="AD1" s="2" t="s">
        <v>128</v>
      </c>
      <c r="AE1" s="2" t="s">
        <v>129</v>
      </c>
      <c r="AF1" s="2" t="s">
        <v>130</v>
      </c>
      <c r="AG1" s="2" t="s">
        <v>131</v>
      </c>
      <c r="AH1" s="2" t="s">
        <v>132</v>
      </c>
      <c r="AI1" s="2" t="s">
        <v>133</v>
      </c>
      <c r="AJ1" s="2" t="s">
        <v>134</v>
      </c>
      <c r="AK1" s="2" t="s">
        <v>135</v>
      </c>
      <c r="AL1" s="2" t="s">
        <v>136</v>
      </c>
      <c r="AM1" s="2" t="s">
        <v>137</v>
      </c>
      <c r="AN1" s="2" t="s">
        <v>138</v>
      </c>
      <c r="AO1" s="2" t="s">
        <v>139</v>
      </c>
      <c r="AP1" s="2" t="s">
        <v>140</v>
      </c>
      <c r="AQ1" s="2" t="s">
        <v>141</v>
      </c>
      <c r="AR1" s="2" t="s">
        <v>142</v>
      </c>
      <c r="AS1" s="2" t="s">
        <v>143</v>
      </c>
    </row>
    <row r="2" spans="1:45" x14ac:dyDescent="0.35">
      <c r="A2" t="s">
        <v>7</v>
      </c>
      <c r="B2" s="7">
        <v>10</v>
      </c>
      <c r="C2" s="7">
        <v>10</v>
      </c>
      <c r="D2" s="7">
        <v>10</v>
      </c>
      <c r="E2" s="7">
        <v>32</v>
      </c>
      <c r="F2" s="7">
        <v>10</v>
      </c>
      <c r="G2" s="7">
        <v>36</v>
      </c>
      <c r="H2" s="7">
        <v>10</v>
      </c>
      <c r="I2" s="7">
        <v>10</v>
      </c>
      <c r="J2" s="7">
        <v>20</v>
      </c>
      <c r="K2" s="7">
        <v>10</v>
      </c>
      <c r="L2" s="7">
        <v>50</v>
      </c>
      <c r="M2" s="7">
        <v>10</v>
      </c>
      <c r="N2" s="7">
        <v>10</v>
      </c>
      <c r="O2" s="7">
        <v>10</v>
      </c>
      <c r="P2" s="7">
        <v>10</v>
      </c>
      <c r="Q2" s="7">
        <v>10</v>
      </c>
      <c r="R2" s="7">
        <v>10</v>
      </c>
      <c r="S2" s="7">
        <v>50</v>
      </c>
      <c r="T2" s="7">
        <v>10</v>
      </c>
      <c r="U2" s="7">
        <v>20</v>
      </c>
      <c r="V2" s="7">
        <v>10</v>
      </c>
      <c r="W2" s="7">
        <v>10</v>
      </c>
      <c r="X2" s="7">
        <v>10</v>
      </c>
      <c r="Y2" s="7">
        <v>10</v>
      </c>
      <c r="Z2" s="7">
        <v>10</v>
      </c>
      <c r="AA2" s="7">
        <v>10</v>
      </c>
      <c r="AB2" s="7">
        <v>10</v>
      </c>
      <c r="AC2" s="7">
        <v>10</v>
      </c>
      <c r="AD2" s="7">
        <v>10</v>
      </c>
      <c r="AE2" s="7">
        <v>10</v>
      </c>
      <c r="AF2" s="7">
        <v>10</v>
      </c>
      <c r="AG2" s="7">
        <v>10</v>
      </c>
      <c r="AH2" s="7">
        <v>10</v>
      </c>
      <c r="AI2" s="7">
        <v>40</v>
      </c>
      <c r="AJ2" s="7">
        <v>10</v>
      </c>
      <c r="AK2" s="7">
        <v>20</v>
      </c>
      <c r="AL2" s="7">
        <v>10</v>
      </c>
      <c r="AM2" s="7">
        <v>20</v>
      </c>
      <c r="AN2" s="7">
        <v>20</v>
      </c>
      <c r="AO2" s="7">
        <v>10</v>
      </c>
      <c r="AP2" s="7">
        <v>10</v>
      </c>
      <c r="AQ2" s="7">
        <v>10</v>
      </c>
      <c r="AR2" s="7">
        <v>38</v>
      </c>
      <c r="AS2" s="7">
        <v>24</v>
      </c>
    </row>
    <row r="3" spans="1:45" x14ac:dyDescent="0.35">
      <c r="A3" t="s">
        <v>8</v>
      </c>
      <c r="B3" s="7">
        <v>10</v>
      </c>
      <c r="C3" s="7">
        <v>10</v>
      </c>
      <c r="D3" s="7">
        <v>10</v>
      </c>
      <c r="E3" s="7">
        <v>10</v>
      </c>
      <c r="F3" s="7">
        <v>10</v>
      </c>
      <c r="G3" s="7">
        <v>10</v>
      </c>
      <c r="H3" s="7">
        <v>10</v>
      </c>
      <c r="I3" s="7">
        <v>10</v>
      </c>
      <c r="J3" s="7">
        <v>10</v>
      </c>
      <c r="K3" s="7">
        <v>10</v>
      </c>
      <c r="L3" s="7">
        <v>10</v>
      </c>
      <c r="M3" s="7">
        <v>10</v>
      </c>
      <c r="N3" s="7">
        <v>10</v>
      </c>
      <c r="O3" s="7">
        <v>10</v>
      </c>
      <c r="P3" s="7">
        <v>10</v>
      </c>
      <c r="Q3" s="7">
        <v>10</v>
      </c>
      <c r="R3" s="7">
        <v>10</v>
      </c>
      <c r="S3" s="7">
        <v>10</v>
      </c>
      <c r="T3" s="7">
        <v>10</v>
      </c>
      <c r="U3" s="7">
        <v>10</v>
      </c>
      <c r="V3" s="7">
        <v>10</v>
      </c>
      <c r="W3" s="7">
        <v>10</v>
      </c>
      <c r="X3" s="7">
        <v>10</v>
      </c>
      <c r="Y3" s="7">
        <v>10</v>
      </c>
      <c r="Z3" s="7">
        <v>10</v>
      </c>
      <c r="AA3" s="7">
        <v>10</v>
      </c>
      <c r="AB3" s="7">
        <v>10</v>
      </c>
      <c r="AC3" s="7">
        <v>10</v>
      </c>
      <c r="AD3" s="7">
        <v>10</v>
      </c>
      <c r="AE3" s="7">
        <v>10</v>
      </c>
      <c r="AF3" s="7">
        <v>10</v>
      </c>
      <c r="AG3" s="7">
        <v>10</v>
      </c>
      <c r="AH3" s="7">
        <v>10</v>
      </c>
      <c r="AI3" s="7">
        <v>10</v>
      </c>
      <c r="AJ3" s="7">
        <v>10</v>
      </c>
      <c r="AK3" s="7">
        <v>10</v>
      </c>
      <c r="AL3" s="7">
        <v>10</v>
      </c>
      <c r="AM3" s="7">
        <v>10</v>
      </c>
      <c r="AN3" s="7">
        <v>10</v>
      </c>
      <c r="AO3" s="7">
        <v>10</v>
      </c>
      <c r="AP3" s="7">
        <v>10</v>
      </c>
      <c r="AQ3" s="7">
        <v>10</v>
      </c>
      <c r="AR3" s="7">
        <v>10</v>
      </c>
      <c r="AS3" s="7">
        <v>10</v>
      </c>
    </row>
    <row r="4" spans="1:45" x14ac:dyDescent="0.35">
      <c r="A4" t="s">
        <v>9</v>
      </c>
      <c r="B4" s="7">
        <v>10</v>
      </c>
      <c r="C4" s="7">
        <v>10</v>
      </c>
      <c r="D4" s="7">
        <v>10</v>
      </c>
      <c r="E4" s="7">
        <v>10</v>
      </c>
      <c r="F4" s="7">
        <v>10</v>
      </c>
      <c r="G4" s="7">
        <v>10</v>
      </c>
      <c r="H4" s="7">
        <v>10</v>
      </c>
      <c r="I4" s="7">
        <v>10</v>
      </c>
      <c r="J4" s="7">
        <v>10</v>
      </c>
      <c r="K4" s="7">
        <v>10</v>
      </c>
      <c r="L4" s="7">
        <v>350</v>
      </c>
      <c r="M4" s="7">
        <v>10</v>
      </c>
      <c r="N4" s="7">
        <v>10</v>
      </c>
      <c r="O4" s="7">
        <v>10</v>
      </c>
      <c r="P4" s="7">
        <v>10</v>
      </c>
      <c r="Q4" s="7">
        <v>10</v>
      </c>
      <c r="R4" s="7">
        <v>10</v>
      </c>
      <c r="S4" s="7">
        <v>10</v>
      </c>
      <c r="T4" s="7">
        <v>10</v>
      </c>
      <c r="U4" s="7">
        <v>10</v>
      </c>
      <c r="V4" s="7">
        <v>10</v>
      </c>
      <c r="W4" s="7">
        <v>10</v>
      </c>
      <c r="X4" s="7">
        <v>10</v>
      </c>
      <c r="Y4" s="7">
        <v>10</v>
      </c>
      <c r="Z4" s="7">
        <v>10</v>
      </c>
      <c r="AA4" s="7">
        <v>10</v>
      </c>
      <c r="AB4" s="7">
        <v>10</v>
      </c>
      <c r="AC4" s="7">
        <v>10</v>
      </c>
      <c r="AD4" s="7">
        <v>10</v>
      </c>
      <c r="AE4" s="7">
        <v>10</v>
      </c>
      <c r="AF4" s="7">
        <v>10</v>
      </c>
      <c r="AG4" s="7">
        <v>10</v>
      </c>
      <c r="AH4" s="7">
        <v>10</v>
      </c>
      <c r="AI4" s="7">
        <v>10</v>
      </c>
      <c r="AJ4" s="7">
        <v>10</v>
      </c>
      <c r="AK4" s="7">
        <v>10</v>
      </c>
      <c r="AL4" s="7">
        <v>10</v>
      </c>
      <c r="AM4" s="7">
        <v>10</v>
      </c>
      <c r="AN4" s="7">
        <v>10</v>
      </c>
      <c r="AO4" s="7">
        <v>10</v>
      </c>
      <c r="AP4" s="7">
        <v>10</v>
      </c>
      <c r="AQ4" s="7">
        <v>10</v>
      </c>
      <c r="AR4" s="7">
        <v>10</v>
      </c>
      <c r="AS4" s="7">
        <v>10</v>
      </c>
    </row>
    <row r="5" spans="1:45" x14ac:dyDescent="0.35">
      <c r="A5" t="s">
        <v>10</v>
      </c>
      <c r="B5" s="7">
        <v>10</v>
      </c>
      <c r="C5" s="7">
        <v>10</v>
      </c>
      <c r="D5" s="7">
        <v>10</v>
      </c>
      <c r="E5" s="7">
        <v>10</v>
      </c>
      <c r="F5" s="7">
        <v>450</v>
      </c>
      <c r="G5" s="7">
        <v>10</v>
      </c>
      <c r="H5" s="7">
        <v>10</v>
      </c>
      <c r="I5" s="7">
        <v>10</v>
      </c>
      <c r="J5" s="7">
        <v>10</v>
      </c>
      <c r="K5" s="7">
        <v>10</v>
      </c>
      <c r="L5" s="7">
        <v>10</v>
      </c>
      <c r="M5" s="7">
        <v>10</v>
      </c>
      <c r="N5" s="7">
        <v>10</v>
      </c>
      <c r="O5" s="7">
        <v>10</v>
      </c>
      <c r="P5" s="7">
        <v>10</v>
      </c>
      <c r="Q5" s="7">
        <v>10</v>
      </c>
      <c r="R5" s="7">
        <v>10</v>
      </c>
      <c r="S5" s="7">
        <v>10</v>
      </c>
      <c r="T5" s="7">
        <v>10</v>
      </c>
      <c r="U5" s="7">
        <v>10</v>
      </c>
      <c r="V5" s="7">
        <v>10</v>
      </c>
      <c r="W5" s="7">
        <v>10</v>
      </c>
      <c r="X5" s="7">
        <v>10</v>
      </c>
      <c r="Y5" s="7">
        <v>10</v>
      </c>
      <c r="Z5" s="7">
        <v>10</v>
      </c>
      <c r="AA5" s="7">
        <v>10</v>
      </c>
      <c r="AB5" s="7">
        <v>10</v>
      </c>
      <c r="AC5" s="7">
        <v>10</v>
      </c>
      <c r="AD5" s="7">
        <v>10</v>
      </c>
      <c r="AE5" s="7">
        <v>80</v>
      </c>
      <c r="AF5" s="7">
        <v>10</v>
      </c>
      <c r="AG5" s="7">
        <v>10</v>
      </c>
      <c r="AH5" s="7">
        <v>10</v>
      </c>
      <c r="AI5" s="7">
        <v>10</v>
      </c>
      <c r="AJ5" s="7">
        <v>10</v>
      </c>
      <c r="AK5" s="7">
        <v>10</v>
      </c>
      <c r="AL5" s="7">
        <v>10</v>
      </c>
      <c r="AM5" s="7">
        <v>10</v>
      </c>
      <c r="AN5" s="7">
        <v>10</v>
      </c>
      <c r="AO5" s="7">
        <v>10</v>
      </c>
      <c r="AP5" s="7">
        <v>10</v>
      </c>
      <c r="AQ5" s="7">
        <v>10</v>
      </c>
      <c r="AR5" s="7">
        <v>10</v>
      </c>
      <c r="AS5" s="7">
        <v>10</v>
      </c>
    </row>
    <row r="6" spans="1:45" x14ac:dyDescent="0.35">
      <c r="A6" t="s">
        <v>11</v>
      </c>
      <c r="B6" s="7">
        <v>10</v>
      </c>
      <c r="C6" s="7">
        <v>10</v>
      </c>
      <c r="D6" s="7">
        <v>10</v>
      </c>
      <c r="E6" s="7">
        <v>10</v>
      </c>
      <c r="F6" s="7">
        <v>10</v>
      </c>
      <c r="G6" s="7">
        <v>10</v>
      </c>
      <c r="H6" s="7">
        <v>10</v>
      </c>
      <c r="I6" s="7">
        <v>10</v>
      </c>
      <c r="J6" s="7">
        <v>10</v>
      </c>
      <c r="K6" s="7">
        <v>10</v>
      </c>
      <c r="L6" s="7">
        <v>10</v>
      </c>
      <c r="M6" s="7">
        <v>10</v>
      </c>
      <c r="N6" s="7">
        <v>10</v>
      </c>
      <c r="O6" s="7">
        <v>10</v>
      </c>
      <c r="P6" s="7">
        <v>10</v>
      </c>
      <c r="Q6" s="7">
        <v>10</v>
      </c>
      <c r="R6" s="7">
        <v>10</v>
      </c>
      <c r="S6" s="7">
        <v>10</v>
      </c>
      <c r="T6" s="7">
        <v>10</v>
      </c>
      <c r="U6" s="7">
        <v>10</v>
      </c>
      <c r="V6" s="7">
        <v>10</v>
      </c>
      <c r="W6" s="7">
        <v>10</v>
      </c>
      <c r="X6" s="7">
        <v>10</v>
      </c>
      <c r="Y6" s="7">
        <v>10</v>
      </c>
      <c r="Z6" s="7">
        <v>10</v>
      </c>
      <c r="AA6" s="7">
        <v>10</v>
      </c>
      <c r="AB6" s="7">
        <v>10</v>
      </c>
      <c r="AC6" s="7">
        <v>10</v>
      </c>
      <c r="AD6" s="7">
        <v>10</v>
      </c>
      <c r="AE6" s="7">
        <v>10</v>
      </c>
      <c r="AF6" s="7">
        <v>400</v>
      </c>
      <c r="AG6" s="7">
        <v>30</v>
      </c>
      <c r="AH6" s="7">
        <v>10</v>
      </c>
      <c r="AI6" s="7">
        <v>10</v>
      </c>
      <c r="AJ6" s="7">
        <v>10</v>
      </c>
      <c r="AK6" s="7">
        <v>10</v>
      </c>
      <c r="AL6" s="7">
        <v>10</v>
      </c>
      <c r="AM6" s="7">
        <v>10</v>
      </c>
      <c r="AN6" s="7">
        <v>10</v>
      </c>
      <c r="AO6" s="7">
        <v>10</v>
      </c>
      <c r="AP6" s="7">
        <v>10</v>
      </c>
      <c r="AQ6" s="7">
        <v>10</v>
      </c>
      <c r="AR6" s="7">
        <v>10</v>
      </c>
      <c r="AS6" s="7">
        <v>10</v>
      </c>
    </row>
    <row r="7" spans="1:45" x14ac:dyDescent="0.35">
      <c r="A7" t="s">
        <v>12</v>
      </c>
      <c r="B7" s="7">
        <v>10</v>
      </c>
      <c r="C7" s="7">
        <v>10</v>
      </c>
      <c r="D7" s="7">
        <v>10</v>
      </c>
      <c r="E7" s="7">
        <v>10</v>
      </c>
      <c r="F7" s="7">
        <v>10</v>
      </c>
      <c r="G7" s="7">
        <v>10</v>
      </c>
      <c r="H7" s="7">
        <v>10</v>
      </c>
      <c r="I7" s="7">
        <v>10</v>
      </c>
      <c r="J7" s="7">
        <v>300</v>
      </c>
      <c r="K7" s="7">
        <v>10</v>
      </c>
      <c r="L7" s="7">
        <v>100</v>
      </c>
      <c r="M7" s="7">
        <v>10</v>
      </c>
      <c r="N7" s="7">
        <v>10</v>
      </c>
      <c r="O7" s="7">
        <v>50</v>
      </c>
      <c r="P7" s="7">
        <v>10</v>
      </c>
      <c r="Q7" s="7">
        <v>10</v>
      </c>
      <c r="R7" s="7">
        <v>10</v>
      </c>
      <c r="S7" s="7">
        <v>10</v>
      </c>
      <c r="T7" s="7">
        <v>10</v>
      </c>
      <c r="U7" s="7">
        <v>50</v>
      </c>
      <c r="V7" s="7">
        <v>10</v>
      </c>
      <c r="W7" s="7">
        <v>10</v>
      </c>
      <c r="X7" s="7">
        <v>10</v>
      </c>
      <c r="Y7" s="7">
        <v>10</v>
      </c>
      <c r="Z7" s="7">
        <v>10</v>
      </c>
      <c r="AA7" s="7">
        <v>10</v>
      </c>
      <c r="AB7" s="7">
        <v>10</v>
      </c>
      <c r="AC7" s="7">
        <v>10</v>
      </c>
      <c r="AD7" s="7">
        <v>10</v>
      </c>
      <c r="AE7" s="7">
        <v>10</v>
      </c>
      <c r="AF7" s="7">
        <v>10</v>
      </c>
      <c r="AG7" s="7">
        <v>10</v>
      </c>
      <c r="AH7" s="7">
        <v>10</v>
      </c>
      <c r="AI7" s="7">
        <v>10</v>
      </c>
      <c r="AJ7" s="7">
        <v>10</v>
      </c>
      <c r="AK7" s="7">
        <v>10</v>
      </c>
      <c r="AL7" s="7">
        <v>10</v>
      </c>
      <c r="AM7" s="7">
        <v>10</v>
      </c>
      <c r="AN7" s="7">
        <v>10</v>
      </c>
      <c r="AO7" s="7">
        <v>10</v>
      </c>
      <c r="AP7" s="7">
        <v>10</v>
      </c>
      <c r="AQ7" s="7">
        <v>10</v>
      </c>
      <c r="AR7" s="7">
        <v>10</v>
      </c>
      <c r="AS7" s="7">
        <v>10</v>
      </c>
    </row>
    <row r="8" spans="1:45" x14ac:dyDescent="0.35">
      <c r="A8" t="s">
        <v>13</v>
      </c>
      <c r="B8" s="7">
        <v>10</v>
      </c>
      <c r="C8" s="7">
        <v>10</v>
      </c>
      <c r="D8" s="7">
        <v>10</v>
      </c>
      <c r="E8" s="7">
        <v>10</v>
      </c>
      <c r="F8" s="7">
        <v>10</v>
      </c>
      <c r="G8" s="7">
        <v>10</v>
      </c>
      <c r="H8" s="7">
        <v>10</v>
      </c>
      <c r="I8" s="7">
        <v>10</v>
      </c>
      <c r="J8" s="7">
        <v>10</v>
      </c>
      <c r="K8" s="7">
        <v>10</v>
      </c>
      <c r="L8" s="7">
        <v>10</v>
      </c>
      <c r="M8" s="7">
        <v>10</v>
      </c>
      <c r="N8" s="7">
        <v>10</v>
      </c>
      <c r="O8" s="7">
        <v>1000</v>
      </c>
      <c r="P8" s="7">
        <v>10</v>
      </c>
      <c r="Q8" s="7">
        <v>10</v>
      </c>
      <c r="R8" s="7">
        <v>10</v>
      </c>
      <c r="S8" s="7">
        <v>10</v>
      </c>
      <c r="T8" s="7">
        <v>10</v>
      </c>
      <c r="U8" s="7">
        <v>10</v>
      </c>
      <c r="V8" s="7">
        <v>10</v>
      </c>
      <c r="W8" s="7">
        <v>10</v>
      </c>
      <c r="X8" s="7">
        <v>10</v>
      </c>
      <c r="Y8" s="7">
        <v>10</v>
      </c>
      <c r="Z8" s="7">
        <v>10</v>
      </c>
      <c r="AA8" s="7">
        <v>10</v>
      </c>
      <c r="AB8" s="7">
        <v>10</v>
      </c>
      <c r="AC8" s="7">
        <v>10</v>
      </c>
      <c r="AD8" s="7">
        <v>10</v>
      </c>
      <c r="AE8" s="7">
        <v>10</v>
      </c>
      <c r="AF8" s="7">
        <v>10</v>
      </c>
      <c r="AG8" s="7">
        <v>10</v>
      </c>
      <c r="AH8" s="7">
        <v>10</v>
      </c>
      <c r="AI8" s="7">
        <v>10</v>
      </c>
      <c r="AJ8" s="7">
        <v>10</v>
      </c>
      <c r="AK8" s="7">
        <v>10</v>
      </c>
      <c r="AL8" s="7">
        <v>10</v>
      </c>
      <c r="AM8" s="7">
        <v>10</v>
      </c>
      <c r="AN8" s="7">
        <v>10</v>
      </c>
      <c r="AO8" s="7">
        <v>10</v>
      </c>
      <c r="AP8" s="7">
        <v>10</v>
      </c>
      <c r="AQ8" s="7">
        <v>10</v>
      </c>
      <c r="AR8" s="7">
        <v>10</v>
      </c>
      <c r="AS8" s="7">
        <v>10</v>
      </c>
    </row>
    <row r="9" spans="1:45" x14ac:dyDescent="0.35">
      <c r="A9" t="s">
        <v>14</v>
      </c>
      <c r="B9" s="7">
        <v>10</v>
      </c>
      <c r="C9" s="7">
        <v>10</v>
      </c>
      <c r="D9" s="7">
        <v>200</v>
      </c>
      <c r="E9" s="7">
        <v>10</v>
      </c>
      <c r="F9" s="7">
        <v>10</v>
      </c>
      <c r="G9" s="7">
        <v>10</v>
      </c>
      <c r="H9" s="7">
        <v>10</v>
      </c>
      <c r="I9" s="7">
        <v>200</v>
      </c>
      <c r="J9" s="7">
        <v>10</v>
      </c>
      <c r="K9" s="7">
        <v>10</v>
      </c>
      <c r="L9" s="7">
        <v>10</v>
      </c>
      <c r="M9" s="7">
        <v>10</v>
      </c>
      <c r="N9" s="7">
        <v>10</v>
      </c>
      <c r="O9" s="7">
        <v>100</v>
      </c>
      <c r="P9" s="7">
        <v>10</v>
      </c>
      <c r="Q9" s="7">
        <v>10</v>
      </c>
      <c r="R9" s="7">
        <v>50</v>
      </c>
      <c r="S9" s="7">
        <v>10</v>
      </c>
      <c r="T9" s="7">
        <v>10</v>
      </c>
      <c r="U9" s="7">
        <v>10</v>
      </c>
      <c r="V9" s="7">
        <v>10</v>
      </c>
      <c r="W9" s="7">
        <v>10</v>
      </c>
      <c r="X9" s="7">
        <v>10</v>
      </c>
      <c r="Y9" s="7">
        <v>10</v>
      </c>
      <c r="Z9" s="7">
        <v>400</v>
      </c>
      <c r="AA9" s="7">
        <v>200</v>
      </c>
      <c r="AB9" s="7">
        <v>100</v>
      </c>
      <c r="AC9" s="7">
        <v>10</v>
      </c>
      <c r="AD9" s="7">
        <v>200</v>
      </c>
      <c r="AE9" s="7">
        <v>10</v>
      </c>
      <c r="AF9" s="7">
        <v>10</v>
      </c>
      <c r="AG9" s="7">
        <v>10</v>
      </c>
      <c r="AH9" s="7">
        <v>100</v>
      </c>
      <c r="AI9" s="7">
        <v>10</v>
      </c>
      <c r="AJ9" s="7">
        <v>10</v>
      </c>
      <c r="AK9" s="7">
        <v>10</v>
      </c>
      <c r="AL9" s="7">
        <v>100</v>
      </c>
      <c r="AM9" s="7">
        <v>10</v>
      </c>
      <c r="AN9" s="7">
        <v>10</v>
      </c>
      <c r="AO9" s="7">
        <v>10</v>
      </c>
      <c r="AP9" s="7">
        <v>200</v>
      </c>
      <c r="AQ9" s="7">
        <v>10</v>
      </c>
      <c r="AR9" s="7">
        <v>10</v>
      </c>
      <c r="AS9" s="7">
        <v>10</v>
      </c>
    </row>
    <row r="10" spans="1:45" x14ac:dyDescent="0.35">
      <c r="A10" t="s">
        <v>15</v>
      </c>
      <c r="B10" s="7">
        <v>10</v>
      </c>
      <c r="C10" s="7">
        <v>180</v>
      </c>
      <c r="D10" s="7">
        <v>10</v>
      </c>
      <c r="E10" s="7">
        <v>10</v>
      </c>
      <c r="F10" s="7">
        <v>10</v>
      </c>
      <c r="G10" s="7">
        <v>10</v>
      </c>
      <c r="H10" s="7">
        <v>10</v>
      </c>
      <c r="I10" s="7">
        <v>10</v>
      </c>
      <c r="J10" s="7">
        <v>10</v>
      </c>
      <c r="K10" s="7">
        <v>10</v>
      </c>
      <c r="L10" s="7">
        <v>10</v>
      </c>
      <c r="M10" s="7">
        <v>180</v>
      </c>
      <c r="N10" s="7">
        <v>10</v>
      </c>
      <c r="O10" s="7">
        <v>10</v>
      </c>
      <c r="P10" s="7">
        <v>10</v>
      </c>
      <c r="Q10" s="7">
        <v>10</v>
      </c>
      <c r="R10" s="7">
        <v>10</v>
      </c>
      <c r="S10" s="7">
        <v>10</v>
      </c>
      <c r="T10" s="7">
        <v>10</v>
      </c>
      <c r="U10" s="7">
        <v>10</v>
      </c>
      <c r="V10" s="7">
        <v>10</v>
      </c>
      <c r="W10" s="7">
        <v>10</v>
      </c>
      <c r="X10" s="7">
        <v>10</v>
      </c>
      <c r="Y10" s="7">
        <v>10</v>
      </c>
      <c r="Z10" s="7">
        <v>10</v>
      </c>
      <c r="AA10" s="7">
        <v>10</v>
      </c>
      <c r="AB10" s="7">
        <v>10</v>
      </c>
      <c r="AC10" s="7">
        <v>10</v>
      </c>
      <c r="AD10" s="7">
        <v>10</v>
      </c>
      <c r="AE10" s="7">
        <v>10</v>
      </c>
      <c r="AF10" s="7">
        <v>10</v>
      </c>
      <c r="AG10" s="7">
        <v>10</v>
      </c>
      <c r="AH10" s="7">
        <v>10</v>
      </c>
      <c r="AI10" s="7">
        <v>10</v>
      </c>
      <c r="AJ10" s="7">
        <v>10</v>
      </c>
      <c r="AK10" s="7">
        <v>10</v>
      </c>
      <c r="AL10" s="7">
        <v>10</v>
      </c>
      <c r="AM10" s="7">
        <v>10</v>
      </c>
      <c r="AN10" s="7">
        <v>10</v>
      </c>
      <c r="AO10" s="7">
        <v>10</v>
      </c>
      <c r="AP10" s="7">
        <v>10</v>
      </c>
      <c r="AQ10" s="7">
        <v>10</v>
      </c>
      <c r="AR10" s="7">
        <v>10</v>
      </c>
      <c r="AS10" s="7">
        <v>10</v>
      </c>
    </row>
    <row r="11" spans="1:45" x14ac:dyDescent="0.35">
      <c r="A11" t="s">
        <v>16</v>
      </c>
      <c r="B11" s="7">
        <v>10</v>
      </c>
      <c r="C11" s="7">
        <v>10</v>
      </c>
      <c r="D11" s="7">
        <v>10</v>
      </c>
      <c r="E11" s="7">
        <v>10</v>
      </c>
      <c r="F11" s="7">
        <v>10</v>
      </c>
      <c r="G11" s="7">
        <v>10</v>
      </c>
      <c r="H11" s="7">
        <v>10</v>
      </c>
      <c r="I11" s="7">
        <v>10</v>
      </c>
      <c r="J11" s="7">
        <v>10</v>
      </c>
      <c r="K11" s="7">
        <v>10</v>
      </c>
      <c r="L11" s="7">
        <v>120</v>
      </c>
      <c r="M11" s="7">
        <v>10</v>
      </c>
      <c r="N11" s="7">
        <v>10</v>
      </c>
      <c r="O11" s="7">
        <v>10</v>
      </c>
      <c r="P11" s="7">
        <v>10</v>
      </c>
      <c r="Q11" s="7">
        <v>10</v>
      </c>
      <c r="R11" s="7">
        <v>10</v>
      </c>
      <c r="S11" s="7">
        <v>10</v>
      </c>
      <c r="T11" s="7">
        <v>10</v>
      </c>
      <c r="U11" s="7">
        <v>10</v>
      </c>
      <c r="V11" s="7">
        <v>10</v>
      </c>
      <c r="W11" s="7">
        <v>10</v>
      </c>
      <c r="X11" s="7">
        <v>10</v>
      </c>
      <c r="Y11" s="7">
        <v>10</v>
      </c>
      <c r="Z11" s="7">
        <v>10</v>
      </c>
      <c r="AA11" s="7">
        <v>10</v>
      </c>
      <c r="AB11" s="7">
        <v>10</v>
      </c>
      <c r="AC11" s="7">
        <v>10</v>
      </c>
      <c r="AD11" s="7">
        <v>10</v>
      </c>
      <c r="AE11" s="7">
        <v>10</v>
      </c>
      <c r="AF11" s="7">
        <v>10</v>
      </c>
      <c r="AG11" s="7">
        <v>10</v>
      </c>
      <c r="AH11" s="7">
        <v>10</v>
      </c>
      <c r="AI11" s="7">
        <v>10</v>
      </c>
      <c r="AJ11" s="7">
        <v>10</v>
      </c>
      <c r="AK11" s="7">
        <v>10</v>
      </c>
      <c r="AL11" s="7">
        <v>10</v>
      </c>
      <c r="AM11" s="7">
        <v>10</v>
      </c>
      <c r="AN11" s="7">
        <v>10</v>
      </c>
      <c r="AO11" s="7">
        <v>10</v>
      </c>
      <c r="AP11" s="7">
        <v>10</v>
      </c>
      <c r="AQ11" s="7">
        <v>280</v>
      </c>
      <c r="AR11" s="7">
        <v>10</v>
      </c>
      <c r="AS11" s="7">
        <v>10</v>
      </c>
    </row>
    <row r="12" spans="1:45" x14ac:dyDescent="0.35">
      <c r="A12" t="s">
        <v>17</v>
      </c>
      <c r="B12" s="7">
        <v>10</v>
      </c>
      <c r="C12" s="7">
        <v>10</v>
      </c>
      <c r="D12" s="7">
        <v>10</v>
      </c>
      <c r="E12" s="7">
        <v>40</v>
      </c>
      <c r="F12" s="7">
        <v>10</v>
      </c>
      <c r="G12" s="7">
        <v>40</v>
      </c>
      <c r="H12" s="7">
        <v>10</v>
      </c>
      <c r="I12" s="7">
        <v>10</v>
      </c>
      <c r="J12" s="7">
        <v>10</v>
      </c>
      <c r="K12" s="7">
        <v>10</v>
      </c>
      <c r="L12" s="7">
        <v>10</v>
      </c>
      <c r="M12" s="7">
        <v>10</v>
      </c>
      <c r="N12" s="7">
        <v>10</v>
      </c>
      <c r="O12" s="7">
        <v>10</v>
      </c>
      <c r="P12" s="7">
        <v>10</v>
      </c>
      <c r="Q12" s="7">
        <v>10</v>
      </c>
      <c r="R12" s="7">
        <v>10</v>
      </c>
      <c r="S12" s="7">
        <v>10</v>
      </c>
      <c r="T12" s="7">
        <v>10</v>
      </c>
      <c r="U12" s="7">
        <v>10</v>
      </c>
      <c r="V12" s="7">
        <v>10</v>
      </c>
      <c r="W12" s="7">
        <v>10</v>
      </c>
      <c r="X12" s="7">
        <v>10</v>
      </c>
      <c r="Y12" s="7">
        <v>10</v>
      </c>
      <c r="Z12" s="7">
        <v>10</v>
      </c>
      <c r="AA12" s="7">
        <v>10</v>
      </c>
      <c r="AB12" s="7">
        <v>10</v>
      </c>
      <c r="AC12" s="7">
        <v>10</v>
      </c>
      <c r="AD12" s="7">
        <v>10</v>
      </c>
      <c r="AE12" s="7">
        <v>10</v>
      </c>
      <c r="AF12" s="7">
        <v>10</v>
      </c>
      <c r="AG12" s="7">
        <v>10</v>
      </c>
      <c r="AH12" s="7">
        <v>10</v>
      </c>
      <c r="AI12" s="7">
        <v>10</v>
      </c>
      <c r="AJ12" s="7">
        <v>10</v>
      </c>
      <c r="AK12" s="7">
        <v>10</v>
      </c>
      <c r="AL12" s="7">
        <v>10</v>
      </c>
      <c r="AM12" s="7">
        <v>10</v>
      </c>
      <c r="AN12" s="7">
        <v>10</v>
      </c>
      <c r="AO12" s="7">
        <v>10</v>
      </c>
      <c r="AP12" s="7">
        <v>10</v>
      </c>
      <c r="AQ12" s="7">
        <v>10</v>
      </c>
      <c r="AR12" s="7">
        <v>10</v>
      </c>
      <c r="AS12" s="7">
        <v>10</v>
      </c>
    </row>
    <row r="13" spans="1:45" x14ac:dyDescent="0.35">
      <c r="A13" t="s">
        <v>18</v>
      </c>
      <c r="B13" s="7">
        <v>10</v>
      </c>
      <c r="C13" s="7">
        <v>10</v>
      </c>
      <c r="D13" s="7">
        <v>10</v>
      </c>
      <c r="E13" s="7">
        <v>10</v>
      </c>
      <c r="F13" s="7">
        <v>10</v>
      </c>
      <c r="G13" s="7">
        <v>10</v>
      </c>
      <c r="H13" s="7">
        <v>10</v>
      </c>
      <c r="I13" s="7">
        <v>10</v>
      </c>
      <c r="J13" s="7">
        <v>10</v>
      </c>
      <c r="K13" s="7">
        <v>10</v>
      </c>
      <c r="L13" s="7">
        <v>140</v>
      </c>
      <c r="M13" s="7">
        <v>10</v>
      </c>
      <c r="N13" s="7">
        <v>10</v>
      </c>
      <c r="O13" s="7">
        <v>10</v>
      </c>
      <c r="P13" s="7">
        <v>10</v>
      </c>
      <c r="Q13" s="7">
        <v>10</v>
      </c>
      <c r="R13" s="7">
        <v>10</v>
      </c>
      <c r="S13" s="7">
        <v>450</v>
      </c>
      <c r="T13" s="7">
        <v>10</v>
      </c>
      <c r="U13" s="7">
        <v>10</v>
      </c>
      <c r="V13" s="7">
        <v>10</v>
      </c>
      <c r="W13" s="7">
        <v>10</v>
      </c>
      <c r="X13" s="7">
        <v>10</v>
      </c>
      <c r="Y13" s="7">
        <v>10</v>
      </c>
      <c r="Z13" s="7">
        <v>10</v>
      </c>
      <c r="AA13" s="7">
        <v>10</v>
      </c>
      <c r="AB13" s="7">
        <v>10</v>
      </c>
      <c r="AC13" s="7">
        <v>10</v>
      </c>
      <c r="AD13" s="7">
        <v>10</v>
      </c>
      <c r="AE13" s="7">
        <v>10</v>
      </c>
      <c r="AF13" s="7">
        <v>10</v>
      </c>
      <c r="AG13" s="7">
        <v>10</v>
      </c>
      <c r="AH13" s="7">
        <v>10</v>
      </c>
      <c r="AI13" s="7">
        <v>10</v>
      </c>
      <c r="AJ13" s="7">
        <v>10</v>
      </c>
      <c r="AK13" s="7">
        <v>50</v>
      </c>
      <c r="AL13" s="7">
        <v>10</v>
      </c>
      <c r="AM13" s="7">
        <v>10</v>
      </c>
      <c r="AN13" s="7">
        <v>10</v>
      </c>
      <c r="AO13" s="7">
        <v>10</v>
      </c>
      <c r="AP13" s="7">
        <v>10</v>
      </c>
      <c r="AQ13" s="7">
        <v>10</v>
      </c>
      <c r="AR13" s="7">
        <v>10</v>
      </c>
      <c r="AS13" s="7">
        <v>10</v>
      </c>
    </row>
    <row r="14" spans="1:45" x14ac:dyDescent="0.35">
      <c r="A14" t="s">
        <v>19</v>
      </c>
      <c r="B14" s="7">
        <v>10</v>
      </c>
      <c r="C14" s="7">
        <v>10</v>
      </c>
      <c r="D14" s="7">
        <v>10</v>
      </c>
      <c r="E14" s="7">
        <v>10</v>
      </c>
      <c r="F14" s="7">
        <v>10</v>
      </c>
      <c r="G14" s="7">
        <v>10</v>
      </c>
      <c r="H14" s="7">
        <v>10</v>
      </c>
      <c r="I14" s="7">
        <v>10</v>
      </c>
      <c r="J14" s="7">
        <v>10</v>
      </c>
      <c r="K14" s="7">
        <v>10</v>
      </c>
      <c r="L14" s="7">
        <v>10</v>
      </c>
      <c r="M14" s="7">
        <v>10</v>
      </c>
      <c r="N14" s="7">
        <v>10</v>
      </c>
      <c r="O14" s="7">
        <v>10</v>
      </c>
      <c r="P14" s="7">
        <v>10</v>
      </c>
      <c r="Q14" s="7">
        <v>10</v>
      </c>
      <c r="R14" s="7">
        <v>10</v>
      </c>
      <c r="S14" s="7">
        <v>10</v>
      </c>
      <c r="T14" s="7">
        <v>420</v>
      </c>
      <c r="U14" s="7">
        <v>10</v>
      </c>
      <c r="V14" s="7">
        <v>10</v>
      </c>
      <c r="W14" s="7">
        <v>10</v>
      </c>
      <c r="X14" s="7">
        <v>10</v>
      </c>
      <c r="Y14" s="7">
        <v>10</v>
      </c>
      <c r="Z14" s="7">
        <v>10</v>
      </c>
      <c r="AA14" s="7">
        <v>10</v>
      </c>
      <c r="AB14" s="7">
        <v>10</v>
      </c>
      <c r="AC14" s="7">
        <v>10</v>
      </c>
      <c r="AD14" s="7">
        <v>10</v>
      </c>
      <c r="AE14" s="7">
        <v>10</v>
      </c>
      <c r="AF14" s="7">
        <v>10</v>
      </c>
      <c r="AG14" s="7">
        <v>10</v>
      </c>
      <c r="AH14" s="7">
        <v>10</v>
      </c>
      <c r="AI14" s="7">
        <v>10</v>
      </c>
      <c r="AJ14" s="7">
        <v>10</v>
      </c>
      <c r="AK14" s="7">
        <v>240</v>
      </c>
      <c r="AL14" s="7">
        <v>10</v>
      </c>
      <c r="AM14" s="7">
        <v>10</v>
      </c>
      <c r="AN14" s="7">
        <v>10</v>
      </c>
      <c r="AO14" s="7">
        <v>10</v>
      </c>
      <c r="AP14" s="7">
        <v>10</v>
      </c>
      <c r="AQ14" s="7">
        <v>10</v>
      </c>
      <c r="AR14" s="7">
        <v>10</v>
      </c>
      <c r="AS14" s="7">
        <v>10</v>
      </c>
    </row>
    <row r="15" spans="1:45" x14ac:dyDescent="0.35">
      <c r="A15" t="s">
        <v>20</v>
      </c>
      <c r="B15" s="7">
        <v>10</v>
      </c>
      <c r="C15" s="7">
        <v>10</v>
      </c>
      <c r="D15" s="7">
        <v>10</v>
      </c>
      <c r="E15" s="7">
        <v>10</v>
      </c>
      <c r="F15" s="7">
        <v>10</v>
      </c>
      <c r="G15" s="7">
        <v>10</v>
      </c>
      <c r="H15" s="7">
        <v>10</v>
      </c>
      <c r="I15" s="7">
        <v>10</v>
      </c>
      <c r="J15" s="7">
        <v>10</v>
      </c>
      <c r="K15" s="7">
        <v>10</v>
      </c>
      <c r="L15" s="7">
        <v>150</v>
      </c>
      <c r="M15" s="7">
        <v>10</v>
      </c>
      <c r="N15" s="7">
        <v>10</v>
      </c>
      <c r="O15" s="7">
        <v>10</v>
      </c>
      <c r="P15" s="7">
        <v>10</v>
      </c>
      <c r="Q15" s="7">
        <v>10</v>
      </c>
      <c r="R15" s="7">
        <v>10</v>
      </c>
      <c r="S15" s="7">
        <v>10</v>
      </c>
      <c r="T15" s="7">
        <v>10</v>
      </c>
      <c r="U15" s="7">
        <v>60</v>
      </c>
      <c r="V15" s="7">
        <v>10</v>
      </c>
      <c r="W15" s="7">
        <v>10</v>
      </c>
      <c r="X15" s="7">
        <v>10</v>
      </c>
      <c r="Y15" s="7">
        <v>10</v>
      </c>
      <c r="Z15" s="7">
        <v>40</v>
      </c>
      <c r="AA15" s="7">
        <v>10</v>
      </c>
      <c r="AB15" s="7">
        <v>10</v>
      </c>
      <c r="AC15" s="7">
        <v>10</v>
      </c>
      <c r="AD15" s="7">
        <v>10</v>
      </c>
      <c r="AE15" s="7">
        <v>10</v>
      </c>
      <c r="AF15" s="7">
        <v>130</v>
      </c>
      <c r="AG15" s="7">
        <v>10</v>
      </c>
      <c r="AH15" s="7">
        <v>10</v>
      </c>
      <c r="AI15" s="7">
        <v>10</v>
      </c>
      <c r="AJ15" s="7">
        <v>40</v>
      </c>
      <c r="AK15" s="7">
        <v>10</v>
      </c>
      <c r="AL15" s="7">
        <v>10</v>
      </c>
      <c r="AM15" s="7">
        <v>10</v>
      </c>
      <c r="AN15" s="7">
        <v>10</v>
      </c>
      <c r="AO15" s="7">
        <v>10</v>
      </c>
      <c r="AP15" s="7">
        <v>10</v>
      </c>
      <c r="AQ15" s="7">
        <v>140</v>
      </c>
      <c r="AR15" s="7">
        <v>10</v>
      </c>
      <c r="AS15" s="7">
        <v>10</v>
      </c>
    </row>
    <row r="16" spans="1:45" x14ac:dyDescent="0.35">
      <c r="A16" t="s">
        <v>21</v>
      </c>
      <c r="B16" s="7">
        <v>10</v>
      </c>
      <c r="C16" s="7">
        <v>10</v>
      </c>
      <c r="D16" s="7">
        <v>10</v>
      </c>
      <c r="E16" s="7">
        <v>10</v>
      </c>
      <c r="F16" s="7">
        <v>10</v>
      </c>
      <c r="G16" s="7">
        <v>10</v>
      </c>
      <c r="H16" s="7">
        <v>10</v>
      </c>
      <c r="I16" s="7">
        <v>10</v>
      </c>
      <c r="J16" s="7">
        <v>10</v>
      </c>
      <c r="K16" s="7">
        <v>10</v>
      </c>
      <c r="L16" s="7">
        <v>10</v>
      </c>
      <c r="M16" s="7">
        <v>10</v>
      </c>
      <c r="N16" s="7">
        <v>10</v>
      </c>
      <c r="O16" s="7">
        <v>10</v>
      </c>
      <c r="P16" s="7">
        <v>10</v>
      </c>
      <c r="Q16" s="7">
        <v>10</v>
      </c>
      <c r="R16" s="7">
        <v>10</v>
      </c>
      <c r="S16" s="7">
        <v>10</v>
      </c>
      <c r="T16" s="7">
        <v>10</v>
      </c>
      <c r="U16" s="7">
        <v>10</v>
      </c>
      <c r="V16" s="7">
        <v>10</v>
      </c>
      <c r="W16" s="7">
        <v>10</v>
      </c>
      <c r="X16" s="7">
        <v>10</v>
      </c>
      <c r="Y16" s="7">
        <v>10</v>
      </c>
      <c r="Z16" s="7">
        <v>10</v>
      </c>
      <c r="AA16" s="7">
        <v>10</v>
      </c>
      <c r="AB16" s="7">
        <v>10</v>
      </c>
      <c r="AC16" s="7">
        <v>10</v>
      </c>
      <c r="AD16" s="7">
        <v>10</v>
      </c>
      <c r="AE16" s="7">
        <v>10</v>
      </c>
      <c r="AF16" s="7">
        <v>10</v>
      </c>
      <c r="AG16" s="7">
        <v>10</v>
      </c>
      <c r="AH16" s="7">
        <v>10</v>
      </c>
      <c r="AI16" s="7">
        <v>10</v>
      </c>
      <c r="AJ16" s="7">
        <v>10</v>
      </c>
      <c r="AK16" s="7">
        <v>10</v>
      </c>
      <c r="AL16" s="7">
        <v>10</v>
      </c>
      <c r="AM16" s="7">
        <v>10</v>
      </c>
      <c r="AN16" s="7">
        <v>10</v>
      </c>
      <c r="AO16" s="7">
        <v>500</v>
      </c>
      <c r="AP16" s="7">
        <v>10</v>
      </c>
      <c r="AQ16" s="7">
        <v>10</v>
      </c>
      <c r="AR16" s="7">
        <v>10</v>
      </c>
      <c r="AS16" s="7">
        <v>10</v>
      </c>
    </row>
    <row r="17" spans="1:45" x14ac:dyDescent="0.35">
      <c r="A17" t="s">
        <v>22</v>
      </c>
      <c r="B17" s="7">
        <v>10</v>
      </c>
      <c r="C17" s="7">
        <v>10</v>
      </c>
      <c r="D17" s="7">
        <v>10</v>
      </c>
      <c r="E17" s="7">
        <v>10</v>
      </c>
      <c r="F17" s="7">
        <v>10</v>
      </c>
      <c r="G17" s="7">
        <v>10</v>
      </c>
      <c r="H17" s="7">
        <v>10</v>
      </c>
      <c r="I17" s="7">
        <v>10</v>
      </c>
      <c r="J17" s="7">
        <v>10</v>
      </c>
      <c r="K17" s="7">
        <v>10</v>
      </c>
      <c r="L17" s="7">
        <v>10</v>
      </c>
      <c r="M17" s="7">
        <v>10</v>
      </c>
      <c r="N17" s="7">
        <v>10</v>
      </c>
      <c r="O17" s="7">
        <v>10</v>
      </c>
      <c r="P17" s="7">
        <v>10</v>
      </c>
      <c r="Q17" s="7">
        <v>10</v>
      </c>
      <c r="R17" s="7">
        <v>10</v>
      </c>
      <c r="S17" s="7">
        <v>10</v>
      </c>
      <c r="T17" s="7">
        <v>10</v>
      </c>
      <c r="U17" s="7">
        <v>10</v>
      </c>
      <c r="V17" s="7">
        <v>550</v>
      </c>
      <c r="W17" s="7">
        <v>10</v>
      </c>
      <c r="X17" s="7">
        <v>10</v>
      </c>
      <c r="Y17" s="7">
        <v>10</v>
      </c>
      <c r="Z17" s="7">
        <v>10</v>
      </c>
      <c r="AA17" s="7">
        <v>10</v>
      </c>
      <c r="AB17" s="7">
        <v>10</v>
      </c>
      <c r="AC17" s="7">
        <v>10</v>
      </c>
      <c r="AD17" s="7">
        <v>10</v>
      </c>
      <c r="AE17" s="7">
        <v>10</v>
      </c>
      <c r="AF17" s="7">
        <v>10</v>
      </c>
      <c r="AG17" s="7">
        <v>10</v>
      </c>
      <c r="AH17" s="7">
        <v>10</v>
      </c>
      <c r="AI17" s="7">
        <v>10</v>
      </c>
      <c r="AJ17" s="7">
        <v>10</v>
      </c>
      <c r="AK17" s="7">
        <v>10</v>
      </c>
      <c r="AL17" s="7">
        <v>10</v>
      </c>
      <c r="AM17" s="7">
        <v>10</v>
      </c>
      <c r="AN17" s="7">
        <v>10</v>
      </c>
      <c r="AO17" s="7">
        <v>10</v>
      </c>
      <c r="AP17" s="7">
        <v>10</v>
      </c>
      <c r="AQ17" s="7">
        <v>10</v>
      </c>
      <c r="AR17" s="7">
        <v>10</v>
      </c>
      <c r="AS17" s="7">
        <v>10</v>
      </c>
    </row>
    <row r="18" spans="1:45" x14ac:dyDescent="0.35">
      <c r="A18" t="s">
        <v>23</v>
      </c>
      <c r="B18" s="7">
        <v>10</v>
      </c>
      <c r="C18" s="7">
        <v>10</v>
      </c>
      <c r="D18" s="7">
        <v>10</v>
      </c>
      <c r="E18" s="7">
        <v>10</v>
      </c>
      <c r="F18" s="7">
        <v>10</v>
      </c>
      <c r="G18" s="7">
        <v>10</v>
      </c>
      <c r="H18" s="7">
        <v>10</v>
      </c>
      <c r="I18" s="7">
        <v>10</v>
      </c>
      <c r="J18" s="7">
        <v>10</v>
      </c>
      <c r="K18" s="7">
        <v>10</v>
      </c>
      <c r="L18" s="7">
        <v>10</v>
      </c>
      <c r="M18" s="7">
        <v>100</v>
      </c>
      <c r="N18" s="7">
        <v>10</v>
      </c>
      <c r="O18" s="7">
        <v>10</v>
      </c>
      <c r="P18" s="7">
        <v>10</v>
      </c>
      <c r="Q18" s="7">
        <v>10</v>
      </c>
      <c r="R18" s="7">
        <v>10</v>
      </c>
      <c r="S18" s="7">
        <v>10</v>
      </c>
      <c r="T18" s="7">
        <v>10</v>
      </c>
      <c r="U18" s="7">
        <v>10</v>
      </c>
      <c r="V18" s="7">
        <v>10</v>
      </c>
      <c r="W18" s="7">
        <v>450</v>
      </c>
      <c r="X18" s="7">
        <v>80</v>
      </c>
      <c r="Y18" s="7">
        <v>150</v>
      </c>
      <c r="Z18" s="7">
        <v>10</v>
      </c>
      <c r="AA18" s="7">
        <v>10</v>
      </c>
      <c r="AB18" s="7">
        <v>10</v>
      </c>
      <c r="AC18" s="7">
        <v>10</v>
      </c>
      <c r="AD18" s="7">
        <v>10</v>
      </c>
      <c r="AE18" s="7">
        <v>10</v>
      </c>
      <c r="AF18" s="7">
        <v>10</v>
      </c>
      <c r="AG18" s="7">
        <v>10</v>
      </c>
      <c r="AH18" s="7">
        <v>80</v>
      </c>
      <c r="AI18" s="7">
        <v>10</v>
      </c>
      <c r="AJ18" s="7">
        <v>10</v>
      </c>
      <c r="AK18" s="7">
        <v>10</v>
      </c>
      <c r="AL18" s="7">
        <v>10</v>
      </c>
      <c r="AM18" s="7">
        <v>10</v>
      </c>
      <c r="AN18" s="7">
        <v>10</v>
      </c>
      <c r="AO18" s="7">
        <v>10</v>
      </c>
      <c r="AP18" s="7">
        <v>10</v>
      </c>
      <c r="AQ18" s="7">
        <v>10</v>
      </c>
      <c r="AR18" s="7">
        <v>10</v>
      </c>
      <c r="AS18" s="7">
        <v>10</v>
      </c>
    </row>
    <row r="19" spans="1:45" x14ac:dyDescent="0.35">
      <c r="A19" t="s">
        <v>24</v>
      </c>
      <c r="B19" s="7">
        <v>10</v>
      </c>
      <c r="C19" s="7">
        <v>10</v>
      </c>
      <c r="D19" s="7">
        <v>100</v>
      </c>
      <c r="E19" s="7">
        <v>10</v>
      </c>
      <c r="F19" s="7">
        <v>10</v>
      </c>
      <c r="G19" s="7">
        <v>10</v>
      </c>
      <c r="H19" s="7">
        <v>10</v>
      </c>
      <c r="I19" s="7">
        <v>20</v>
      </c>
      <c r="J19" s="7">
        <v>10</v>
      </c>
      <c r="K19" s="7">
        <v>10</v>
      </c>
      <c r="L19" s="7">
        <v>10</v>
      </c>
      <c r="M19" s="7">
        <v>10</v>
      </c>
      <c r="N19" s="7">
        <v>10</v>
      </c>
      <c r="O19" s="7">
        <v>10</v>
      </c>
      <c r="P19" s="7">
        <v>10</v>
      </c>
      <c r="Q19" s="7">
        <v>10</v>
      </c>
      <c r="R19" s="7">
        <v>10</v>
      </c>
      <c r="S19" s="7">
        <v>10</v>
      </c>
      <c r="T19" s="7">
        <v>10</v>
      </c>
      <c r="U19" s="7">
        <v>10</v>
      </c>
      <c r="V19" s="7">
        <v>10</v>
      </c>
      <c r="W19" s="7">
        <v>10</v>
      </c>
      <c r="X19" s="7">
        <v>10</v>
      </c>
      <c r="Y19" s="7">
        <v>10</v>
      </c>
      <c r="Z19" s="7">
        <v>100</v>
      </c>
      <c r="AA19" s="7">
        <v>100</v>
      </c>
      <c r="AB19" s="7">
        <v>10</v>
      </c>
      <c r="AC19" s="7">
        <v>10</v>
      </c>
      <c r="AD19" s="7">
        <v>100</v>
      </c>
      <c r="AE19" s="7">
        <v>10</v>
      </c>
      <c r="AF19" s="7">
        <v>20</v>
      </c>
      <c r="AG19" s="7">
        <v>10</v>
      </c>
      <c r="AH19" s="7">
        <v>10</v>
      </c>
      <c r="AI19" s="7">
        <v>10</v>
      </c>
      <c r="AJ19" s="7">
        <v>100</v>
      </c>
      <c r="AK19" s="7">
        <v>10</v>
      </c>
      <c r="AL19" s="7">
        <v>10</v>
      </c>
      <c r="AM19" s="7">
        <v>10</v>
      </c>
      <c r="AN19" s="7">
        <v>10</v>
      </c>
      <c r="AO19" s="7">
        <v>10</v>
      </c>
      <c r="AP19" s="7">
        <v>100</v>
      </c>
      <c r="AQ19" s="7">
        <v>10</v>
      </c>
      <c r="AR19" s="7">
        <v>10</v>
      </c>
      <c r="AS19" s="7">
        <v>10</v>
      </c>
    </row>
    <row r="20" spans="1:45" x14ac:dyDescent="0.35">
      <c r="A20" t="s">
        <v>25</v>
      </c>
      <c r="B20" s="7">
        <v>10</v>
      </c>
      <c r="C20" s="7">
        <v>10</v>
      </c>
      <c r="D20" s="7">
        <v>10</v>
      </c>
      <c r="E20" s="7">
        <v>10</v>
      </c>
      <c r="F20" s="7">
        <v>10</v>
      </c>
      <c r="G20" s="7">
        <v>10</v>
      </c>
      <c r="H20" s="7">
        <v>260</v>
      </c>
      <c r="I20" s="7">
        <v>10</v>
      </c>
      <c r="J20" s="7">
        <v>10</v>
      </c>
      <c r="K20" s="7">
        <v>10</v>
      </c>
      <c r="L20" s="7">
        <v>10</v>
      </c>
      <c r="M20" s="7">
        <v>10</v>
      </c>
      <c r="N20" s="7">
        <v>10</v>
      </c>
      <c r="O20" s="7">
        <v>500</v>
      </c>
      <c r="P20" s="7">
        <v>10</v>
      </c>
      <c r="Q20" s="7">
        <v>10</v>
      </c>
      <c r="R20" s="7">
        <v>10</v>
      </c>
      <c r="S20" s="7">
        <v>10</v>
      </c>
      <c r="T20" s="7">
        <v>10</v>
      </c>
      <c r="U20" s="7">
        <v>10</v>
      </c>
      <c r="V20" s="7">
        <v>10</v>
      </c>
      <c r="W20" s="7">
        <v>10</v>
      </c>
      <c r="X20" s="7">
        <v>240</v>
      </c>
      <c r="Y20" s="7">
        <v>10</v>
      </c>
      <c r="Z20" s="7">
        <v>10</v>
      </c>
      <c r="AA20" s="7">
        <v>10</v>
      </c>
      <c r="AB20" s="7">
        <v>10</v>
      </c>
      <c r="AC20" s="7">
        <v>10</v>
      </c>
      <c r="AD20" s="7">
        <v>10</v>
      </c>
      <c r="AE20" s="7">
        <v>10</v>
      </c>
      <c r="AF20" s="7">
        <v>10</v>
      </c>
      <c r="AG20" s="7">
        <v>10</v>
      </c>
      <c r="AH20" s="7">
        <v>10</v>
      </c>
      <c r="AI20" s="7">
        <v>10</v>
      </c>
      <c r="AJ20" s="7">
        <v>10</v>
      </c>
      <c r="AK20" s="7">
        <v>10</v>
      </c>
      <c r="AL20" s="7">
        <v>240</v>
      </c>
      <c r="AM20" s="7">
        <v>10</v>
      </c>
      <c r="AN20" s="7">
        <v>240</v>
      </c>
      <c r="AO20" s="7">
        <v>10</v>
      </c>
      <c r="AP20" s="7">
        <v>10</v>
      </c>
      <c r="AQ20" s="7">
        <v>10</v>
      </c>
      <c r="AR20" s="7">
        <v>10</v>
      </c>
      <c r="AS20" s="7">
        <v>10</v>
      </c>
    </row>
    <row r="21" spans="1:45" x14ac:dyDescent="0.35">
      <c r="A21" t="s">
        <v>26</v>
      </c>
      <c r="B21" s="7">
        <v>10</v>
      </c>
      <c r="C21" s="7">
        <v>20</v>
      </c>
      <c r="D21" s="7">
        <v>10</v>
      </c>
      <c r="E21" s="7">
        <v>10</v>
      </c>
      <c r="F21" s="7">
        <v>10</v>
      </c>
      <c r="G21" s="7">
        <v>10</v>
      </c>
      <c r="H21" s="7">
        <v>10</v>
      </c>
      <c r="I21" s="7">
        <v>10</v>
      </c>
      <c r="J21" s="7">
        <v>10</v>
      </c>
      <c r="K21" s="7">
        <v>10</v>
      </c>
      <c r="L21" s="7">
        <v>60</v>
      </c>
      <c r="M21" s="7">
        <v>10</v>
      </c>
      <c r="N21" s="7">
        <v>10</v>
      </c>
      <c r="O21" s="7">
        <v>10</v>
      </c>
      <c r="P21" s="7">
        <v>10</v>
      </c>
      <c r="Q21" s="7">
        <v>10</v>
      </c>
      <c r="R21" s="7">
        <v>10</v>
      </c>
      <c r="S21" s="7">
        <v>10</v>
      </c>
      <c r="T21" s="7">
        <v>10</v>
      </c>
      <c r="U21" s="7">
        <v>10</v>
      </c>
      <c r="V21" s="7">
        <v>10</v>
      </c>
      <c r="W21" s="7">
        <v>10</v>
      </c>
      <c r="X21" s="7">
        <v>10</v>
      </c>
      <c r="Y21" s="7">
        <v>10</v>
      </c>
      <c r="Z21" s="7">
        <v>10</v>
      </c>
      <c r="AA21" s="7">
        <v>10</v>
      </c>
      <c r="AB21" s="7">
        <v>20</v>
      </c>
      <c r="AC21" s="7">
        <v>10</v>
      </c>
      <c r="AD21" s="7">
        <v>10</v>
      </c>
      <c r="AE21" s="7">
        <v>10</v>
      </c>
      <c r="AF21" s="7">
        <v>10</v>
      </c>
      <c r="AG21" s="7">
        <v>10</v>
      </c>
      <c r="AH21" s="7">
        <v>10</v>
      </c>
      <c r="AI21" s="7">
        <v>10</v>
      </c>
      <c r="AJ21" s="7">
        <v>10</v>
      </c>
      <c r="AK21" s="7">
        <v>10</v>
      </c>
      <c r="AL21" s="7">
        <v>60</v>
      </c>
      <c r="AM21" s="7">
        <v>10</v>
      </c>
      <c r="AN21" s="7">
        <v>20</v>
      </c>
      <c r="AO21" s="7">
        <v>10</v>
      </c>
      <c r="AP21" s="7">
        <v>10</v>
      </c>
      <c r="AQ21" s="7">
        <v>10</v>
      </c>
      <c r="AR21" s="7">
        <v>10</v>
      </c>
      <c r="AS21" s="7">
        <v>10</v>
      </c>
    </row>
    <row r="22" spans="1:45" x14ac:dyDescent="0.35">
      <c r="A22" t="s">
        <v>27</v>
      </c>
      <c r="B22" s="7">
        <v>10</v>
      </c>
      <c r="C22" s="7">
        <v>10</v>
      </c>
      <c r="D22" s="7">
        <v>10</v>
      </c>
      <c r="E22" s="7">
        <v>10</v>
      </c>
      <c r="F22" s="7">
        <v>10</v>
      </c>
      <c r="G22" s="7">
        <v>10</v>
      </c>
      <c r="H22" s="7">
        <v>10</v>
      </c>
      <c r="I22" s="7">
        <v>10</v>
      </c>
      <c r="J22" s="7">
        <v>10</v>
      </c>
      <c r="K22" s="7">
        <v>10</v>
      </c>
      <c r="L22" s="7">
        <v>10</v>
      </c>
      <c r="M22" s="7">
        <v>10</v>
      </c>
      <c r="N22" s="7">
        <v>10</v>
      </c>
      <c r="O22" s="7">
        <v>10</v>
      </c>
      <c r="P22" s="7">
        <v>46</v>
      </c>
      <c r="Q22" s="7">
        <v>42</v>
      </c>
      <c r="R22" s="7">
        <v>10</v>
      </c>
      <c r="S22" s="7">
        <v>10</v>
      </c>
      <c r="T22" s="7">
        <v>36</v>
      </c>
      <c r="U22" s="7">
        <v>10</v>
      </c>
      <c r="V22" s="7">
        <v>32</v>
      </c>
      <c r="W22" s="7">
        <v>44</v>
      </c>
      <c r="X22" s="7">
        <v>10</v>
      </c>
      <c r="Y22" s="7">
        <v>10</v>
      </c>
      <c r="Z22" s="7">
        <v>10</v>
      </c>
      <c r="AA22" s="7">
        <v>10</v>
      </c>
      <c r="AB22" s="7">
        <v>10</v>
      </c>
      <c r="AC22" s="7">
        <v>10</v>
      </c>
      <c r="AD22" s="7">
        <v>10</v>
      </c>
      <c r="AE22" s="7">
        <v>36</v>
      </c>
      <c r="AF22" s="7">
        <v>10</v>
      </c>
      <c r="AG22" s="7">
        <v>10</v>
      </c>
      <c r="AH22" s="7">
        <v>10</v>
      </c>
      <c r="AI22" s="7">
        <v>10</v>
      </c>
      <c r="AJ22" s="7">
        <v>10</v>
      </c>
      <c r="AK22" s="7">
        <v>40</v>
      </c>
      <c r="AL22" s="7">
        <v>10</v>
      </c>
      <c r="AM22" s="7">
        <v>40</v>
      </c>
      <c r="AN22" s="7">
        <v>10</v>
      </c>
      <c r="AO22" s="7">
        <v>10</v>
      </c>
      <c r="AP22" s="7">
        <v>10</v>
      </c>
      <c r="AQ22" s="7">
        <v>10</v>
      </c>
      <c r="AR22" s="7">
        <v>38</v>
      </c>
      <c r="AS22" s="7">
        <v>40</v>
      </c>
    </row>
    <row r="23" spans="1:45" x14ac:dyDescent="0.35">
      <c r="A23" t="s">
        <v>28</v>
      </c>
      <c r="B23" s="7">
        <v>10</v>
      </c>
      <c r="C23" s="7">
        <v>10</v>
      </c>
      <c r="D23" s="7">
        <v>10</v>
      </c>
      <c r="E23" s="7">
        <v>10</v>
      </c>
      <c r="F23" s="7">
        <v>10</v>
      </c>
      <c r="G23" s="7">
        <v>10</v>
      </c>
      <c r="H23" s="7">
        <v>10</v>
      </c>
      <c r="I23" s="7">
        <v>10</v>
      </c>
      <c r="J23" s="7">
        <v>10</v>
      </c>
      <c r="K23" s="7">
        <v>10</v>
      </c>
      <c r="L23" s="7">
        <v>10</v>
      </c>
      <c r="M23" s="7">
        <v>10</v>
      </c>
      <c r="N23" s="7">
        <v>10</v>
      </c>
      <c r="O23" s="7">
        <v>10</v>
      </c>
      <c r="P23" s="7">
        <v>10</v>
      </c>
      <c r="Q23" s="7">
        <v>10</v>
      </c>
      <c r="R23" s="7">
        <v>10</v>
      </c>
      <c r="S23" s="7">
        <v>10</v>
      </c>
      <c r="T23" s="7">
        <v>10</v>
      </c>
      <c r="U23" s="7">
        <v>10</v>
      </c>
      <c r="V23" s="7">
        <v>10</v>
      </c>
      <c r="W23" s="7">
        <v>10</v>
      </c>
      <c r="X23" s="7">
        <v>10</v>
      </c>
      <c r="Y23" s="7">
        <v>10</v>
      </c>
      <c r="Z23" s="7">
        <v>10</v>
      </c>
      <c r="AA23" s="7">
        <v>10</v>
      </c>
      <c r="AB23" s="7">
        <v>10</v>
      </c>
      <c r="AC23" s="7">
        <v>10</v>
      </c>
      <c r="AD23" s="7">
        <v>10</v>
      </c>
      <c r="AE23" s="7">
        <v>10</v>
      </c>
      <c r="AF23" s="7">
        <v>10</v>
      </c>
      <c r="AG23" s="7">
        <v>10</v>
      </c>
      <c r="AH23" s="7">
        <v>10</v>
      </c>
      <c r="AI23" s="7">
        <v>10</v>
      </c>
      <c r="AJ23" s="7">
        <v>10</v>
      </c>
      <c r="AK23" s="7">
        <v>10</v>
      </c>
      <c r="AL23" s="7">
        <v>10</v>
      </c>
      <c r="AM23" s="7">
        <v>10</v>
      </c>
      <c r="AN23" s="7">
        <v>10</v>
      </c>
      <c r="AO23" s="7">
        <v>10</v>
      </c>
      <c r="AP23" s="7">
        <v>10</v>
      </c>
      <c r="AQ23" s="7">
        <v>10</v>
      </c>
      <c r="AR23" s="7">
        <v>10</v>
      </c>
      <c r="AS23" s="7">
        <v>10</v>
      </c>
    </row>
    <row r="24" spans="1:45" x14ac:dyDescent="0.35">
      <c r="A24" t="s">
        <v>29</v>
      </c>
      <c r="B24" s="7">
        <v>10</v>
      </c>
      <c r="C24" s="7">
        <v>10</v>
      </c>
      <c r="D24" s="7">
        <v>10</v>
      </c>
      <c r="E24" s="7">
        <v>10</v>
      </c>
      <c r="F24" s="7">
        <v>10</v>
      </c>
      <c r="G24" s="7">
        <v>10</v>
      </c>
      <c r="H24" s="7">
        <v>10</v>
      </c>
      <c r="I24" s="7">
        <v>10</v>
      </c>
      <c r="J24" s="7">
        <v>10</v>
      </c>
      <c r="K24" s="7">
        <v>10</v>
      </c>
      <c r="L24" s="7">
        <v>10</v>
      </c>
      <c r="M24" s="7">
        <v>10</v>
      </c>
      <c r="N24" s="7">
        <v>10</v>
      </c>
      <c r="O24" s="7">
        <v>10</v>
      </c>
      <c r="P24" s="7">
        <v>10</v>
      </c>
      <c r="Q24" s="7">
        <v>10</v>
      </c>
      <c r="R24" s="7">
        <v>10</v>
      </c>
      <c r="S24" s="7">
        <v>10</v>
      </c>
      <c r="T24" s="7">
        <v>10</v>
      </c>
      <c r="U24" s="7">
        <v>10</v>
      </c>
      <c r="V24" s="7">
        <v>10</v>
      </c>
      <c r="W24" s="7">
        <v>10</v>
      </c>
      <c r="X24" s="7">
        <v>10</v>
      </c>
      <c r="Y24" s="7">
        <v>10</v>
      </c>
      <c r="Z24" s="7">
        <v>10</v>
      </c>
      <c r="AA24" s="7">
        <v>10</v>
      </c>
      <c r="AB24" s="7">
        <v>10</v>
      </c>
      <c r="AC24" s="7">
        <v>10</v>
      </c>
      <c r="AD24" s="7">
        <v>10</v>
      </c>
      <c r="AE24" s="7">
        <v>10</v>
      </c>
      <c r="AF24" s="7">
        <v>10</v>
      </c>
      <c r="AG24" s="7">
        <v>10</v>
      </c>
      <c r="AH24" s="7">
        <v>10</v>
      </c>
      <c r="AI24" s="7">
        <v>10</v>
      </c>
      <c r="AJ24" s="7">
        <v>10</v>
      </c>
      <c r="AK24" s="7">
        <v>10</v>
      </c>
      <c r="AL24" s="7">
        <v>10</v>
      </c>
      <c r="AM24" s="7">
        <v>10</v>
      </c>
      <c r="AN24" s="7">
        <v>10</v>
      </c>
      <c r="AO24" s="7">
        <v>10</v>
      </c>
      <c r="AP24" s="7">
        <v>10</v>
      </c>
      <c r="AQ24" s="7">
        <v>10</v>
      </c>
      <c r="AR24" s="7">
        <v>10</v>
      </c>
      <c r="AS24" s="7">
        <v>10</v>
      </c>
    </row>
    <row r="25" spans="1:45" x14ac:dyDescent="0.35">
      <c r="A25" t="s">
        <v>30</v>
      </c>
      <c r="B25" s="7">
        <v>10</v>
      </c>
      <c r="C25" s="7">
        <v>10</v>
      </c>
      <c r="D25" s="7">
        <v>10</v>
      </c>
      <c r="E25" s="7">
        <v>10</v>
      </c>
      <c r="F25" s="7">
        <v>10</v>
      </c>
      <c r="G25" s="7">
        <v>10</v>
      </c>
      <c r="H25" s="7">
        <v>10</v>
      </c>
      <c r="I25" s="7">
        <v>10</v>
      </c>
      <c r="J25" s="7">
        <v>10</v>
      </c>
      <c r="K25" s="7">
        <v>10</v>
      </c>
      <c r="L25" s="7">
        <v>380</v>
      </c>
      <c r="M25" s="7">
        <v>10</v>
      </c>
      <c r="N25" s="7">
        <v>10</v>
      </c>
      <c r="O25" s="7">
        <v>10</v>
      </c>
      <c r="P25" s="7">
        <v>10</v>
      </c>
      <c r="Q25" s="7">
        <v>10</v>
      </c>
      <c r="R25" s="7">
        <v>10</v>
      </c>
      <c r="S25" s="7">
        <v>10</v>
      </c>
      <c r="T25" s="7">
        <v>10</v>
      </c>
      <c r="U25" s="7">
        <v>10</v>
      </c>
      <c r="V25" s="7">
        <v>10</v>
      </c>
      <c r="W25" s="7">
        <v>10</v>
      </c>
      <c r="X25" s="7">
        <v>10</v>
      </c>
      <c r="Y25" s="7">
        <v>10</v>
      </c>
      <c r="Z25" s="7">
        <v>10</v>
      </c>
      <c r="AA25" s="7">
        <v>10</v>
      </c>
      <c r="AB25" s="7">
        <v>10</v>
      </c>
      <c r="AC25" s="7">
        <v>10</v>
      </c>
      <c r="AD25" s="7">
        <v>10</v>
      </c>
      <c r="AE25" s="7">
        <v>10</v>
      </c>
      <c r="AF25" s="7">
        <v>10</v>
      </c>
      <c r="AG25" s="7">
        <v>10</v>
      </c>
      <c r="AH25" s="7">
        <v>10</v>
      </c>
      <c r="AI25" s="7">
        <v>10</v>
      </c>
      <c r="AJ25" s="7">
        <v>10</v>
      </c>
      <c r="AK25" s="7">
        <v>10</v>
      </c>
      <c r="AL25" s="7">
        <v>10</v>
      </c>
      <c r="AM25" s="7">
        <v>10</v>
      </c>
      <c r="AN25" s="7">
        <v>10</v>
      </c>
      <c r="AO25" s="7">
        <v>10</v>
      </c>
      <c r="AP25" s="7">
        <v>10</v>
      </c>
      <c r="AQ25" s="7">
        <v>10</v>
      </c>
      <c r="AR25" s="7">
        <v>10</v>
      </c>
      <c r="AS25" s="7">
        <v>10</v>
      </c>
    </row>
    <row r="26" spans="1:45" x14ac:dyDescent="0.35">
      <c r="A26" t="s">
        <v>31</v>
      </c>
      <c r="B26" s="7">
        <v>10</v>
      </c>
      <c r="C26" s="7">
        <v>10</v>
      </c>
      <c r="D26" s="7">
        <v>10</v>
      </c>
      <c r="E26" s="7">
        <v>10</v>
      </c>
      <c r="F26" s="7">
        <v>10</v>
      </c>
      <c r="G26" s="7">
        <v>10</v>
      </c>
      <c r="H26" s="7">
        <v>10</v>
      </c>
      <c r="I26" s="7">
        <v>10</v>
      </c>
      <c r="J26" s="7">
        <v>10</v>
      </c>
      <c r="K26" s="7">
        <v>420</v>
      </c>
      <c r="L26" s="7">
        <v>10</v>
      </c>
      <c r="M26" s="7">
        <v>10</v>
      </c>
      <c r="N26" s="7">
        <v>10</v>
      </c>
      <c r="O26" s="7">
        <v>10</v>
      </c>
      <c r="P26" s="7">
        <v>10</v>
      </c>
      <c r="Q26" s="7">
        <v>10</v>
      </c>
      <c r="R26" s="7">
        <v>10</v>
      </c>
      <c r="S26" s="7">
        <v>10</v>
      </c>
      <c r="T26" s="7">
        <v>10</v>
      </c>
      <c r="U26" s="7">
        <v>10</v>
      </c>
      <c r="V26" s="7">
        <v>10</v>
      </c>
      <c r="W26" s="7">
        <v>10</v>
      </c>
      <c r="X26" s="7">
        <v>10</v>
      </c>
      <c r="Y26" s="7">
        <v>10</v>
      </c>
      <c r="Z26" s="7">
        <v>10</v>
      </c>
      <c r="AA26" s="7">
        <v>10</v>
      </c>
      <c r="AB26" s="7">
        <v>10</v>
      </c>
      <c r="AC26" s="7">
        <v>10</v>
      </c>
      <c r="AD26" s="7">
        <v>10</v>
      </c>
      <c r="AE26" s="7">
        <v>10</v>
      </c>
      <c r="AF26" s="7">
        <v>10</v>
      </c>
      <c r="AG26" s="7">
        <v>10</v>
      </c>
      <c r="AH26" s="7">
        <v>10</v>
      </c>
      <c r="AI26" s="7">
        <v>10</v>
      </c>
      <c r="AJ26" s="7">
        <v>10</v>
      </c>
      <c r="AK26" s="7">
        <v>10</v>
      </c>
      <c r="AL26" s="7">
        <v>10</v>
      </c>
      <c r="AM26" s="7">
        <v>10</v>
      </c>
      <c r="AN26" s="7">
        <v>10</v>
      </c>
      <c r="AO26" s="7">
        <v>10</v>
      </c>
      <c r="AP26" s="7">
        <v>10</v>
      </c>
      <c r="AQ26" s="7">
        <v>10</v>
      </c>
      <c r="AR26" s="7">
        <v>10</v>
      </c>
      <c r="AS26" s="7">
        <v>10</v>
      </c>
    </row>
    <row r="27" spans="1:45" x14ac:dyDescent="0.35">
      <c r="A27" t="s">
        <v>32</v>
      </c>
      <c r="B27" s="7">
        <v>10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70</v>
      </c>
      <c r="N27" s="7">
        <v>50</v>
      </c>
      <c r="O27" s="7">
        <v>10</v>
      </c>
      <c r="P27" s="7">
        <v>10</v>
      </c>
      <c r="Q27" s="7">
        <v>10</v>
      </c>
      <c r="R27" s="7">
        <v>100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50</v>
      </c>
      <c r="Y27" s="7">
        <v>50</v>
      </c>
      <c r="Z27" s="7">
        <v>10</v>
      </c>
      <c r="AA27" s="7">
        <v>10</v>
      </c>
      <c r="AB27" s="7">
        <v>30</v>
      </c>
      <c r="AC27" s="7">
        <v>10</v>
      </c>
      <c r="AD27" s="7">
        <v>10</v>
      </c>
      <c r="AE27" s="7">
        <v>10</v>
      </c>
      <c r="AF27" s="7">
        <v>10</v>
      </c>
      <c r="AG27" s="7">
        <v>70</v>
      </c>
      <c r="AH27" s="7">
        <v>70</v>
      </c>
      <c r="AI27" s="7">
        <v>10</v>
      </c>
      <c r="AJ27" s="7">
        <v>10</v>
      </c>
      <c r="AK27" s="7">
        <v>10</v>
      </c>
      <c r="AL27" s="7">
        <v>100</v>
      </c>
      <c r="AM27" s="7">
        <v>10</v>
      </c>
      <c r="AN27" s="7">
        <v>70</v>
      </c>
      <c r="AO27" s="7">
        <v>10</v>
      </c>
      <c r="AP27" s="7">
        <v>10</v>
      </c>
      <c r="AQ27" s="7">
        <v>10</v>
      </c>
      <c r="AR27" s="7">
        <v>10</v>
      </c>
      <c r="AS27" s="7">
        <v>10</v>
      </c>
    </row>
    <row r="28" spans="1:45" x14ac:dyDescent="0.35">
      <c r="A28" t="s">
        <v>33</v>
      </c>
      <c r="B28" s="7">
        <v>50</v>
      </c>
      <c r="C28" s="7">
        <v>10</v>
      </c>
      <c r="D28" s="7">
        <v>10</v>
      </c>
      <c r="E28" s="7">
        <v>10</v>
      </c>
      <c r="F28" s="7">
        <v>36</v>
      </c>
      <c r="G28" s="7">
        <v>10</v>
      </c>
      <c r="H28" s="7">
        <v>10</v>
      </c>
      <c r="I28" s="7">
        <v>10</v>
      </c>
      <c r="J28" s="7">
        <v>10</v>
      </c>
      <c r="K28" s="7">
        <v>55</v>
      </c>
      <c r="L28" s="7">
        <v>10</v>
      </c>
      <c r="M28" s="7">
        <v>10</v>
      </c>
      <c r="N28" s="7">
        <v>10</v>
      </c>
      <c r="O28" s="7">
        <v>10</v>
      </c>
      <c r="P28" s="7">
        <v>10</v>
      </c>
      <c r="Q28" s="7">
        <v>10</v>
      </c>
      <c r="R28" s="7">
        <v>10</v>
      </c>
      <c r="S28" s="7">
        <v>10</v>
      </c>
      <c r="T28" s="7">
        <v>10</v>
      </c>
      <c r="U28" s="7">
        <v>10</v>
      </c>
      <c r="V28" s="7">
        <v>10</v>
      </c>
      <c r="W28" s="7">
        <v>10</v>
      </c>
      <c r="X28" s="7">
        <v>10</v>
      </c>
      <c r="Y28" s="7">
        <v>10</v>
      </c>
      <c r="Z28" s="7">
        <v>10</v>
      </c>
      <c r="AA28" s="7">
        <v>10</v>
      </c>
      <c r="AB28" s="7">
        <v>10</v>
      </c>
      <c r="AC28" s="7">
        <v>10</v>
      </c>
      <c r="AD28" s="7">
        <v>10</v>
      </c>
      <c r="AE28" s="7">
        <v>10</v>
      </c>
      <c r="AF28" s="7">
        <v>42</v>
      </c>
      <c r="AG28" s="7">
        <v>10</v>
      </c>
      <c r="AH28" s="7">
        <v>10</v>
      </c>
      <c r="AI28" s="7">
        <v>10</v>
      </c>
      <c r="AJ28" s="7">
        <v>10</v>
      </c>
      <c r="AK28" s="7">
        <v>10</v>
      </c>
      <c r="AL28" s="7">
        <v>10</v>
      </c>
      <c r="AM28" s="7">
        <v>10</v>
      </c>
      <c r="AN28" s="7">
        <v>10</v>
      </c>
      <c r="AO28" s="7">
        <v>58</v>
      </c>
      <c r="AP28" s="7">
        <v>10</v>
      </c>
      <c r="AQ28" s="7">
        <v>52</v>
      </c>
      <c r="AR28" s="7">
        <v>10</v>
      </c>
      <c r="AS28" s="7">
        <v>10</v>
      </c>
    </row>
    <row r="29" spans="1:45" x14ac:dyDescent="0.35">
      <c r="A29" t="s">
        <v>34</v>
      </c>
      <c r="B29" s="7">
        <v>10</v>
      </c>
      <c r="C29" s="7">
        <v>10</v>
      </c>
      <c r="D29" s="7">
        <v>10</v>
      </c>
      <c r="E29" s="7">
        <v>10</v>
      </c>
      <c r="F29" s="7">
        <v>10</v>
      </c>
      <c r="G29" s="7">
        <v>10</v>
      </c>
      <c r="H29" s="7">
        <v>10</v>
      </c>
      <c r="I29" s="7">
        <v>10</v>
      </c>
      <c r="J29" s="7">
        <v>10</v>
      </c>
      <c r="K29" s="7">
        <v>10</v>
      </c>
      <c r="L29" s="7">
        <v>10</v>
      </c>
      <c r="M29" s="7">
        <v>10</v>
      </c>
      <c r="N29" s="7">
        <v>120</v>
      </c>
      <c r="O29" s="7">
        <v>10</v>
      </c>
      <c r="P29" s="7">
        <v>10</v>
      </c>
      <c r="Q29" s="7">
        <v>10</v>
      </c>
      <c r="R29" s="7">
        <v>10</v>
      </c>
      <c r="S29" s="7">
        <v>100</v>
      </c>
      <c r="T29" s="7">
        <v>10</v>
      </c>
      <c r="U29" s="7">
        <v>10</v>
      </c>
      <c r="V29" s="7">
        <v>10</v>
      </c>
      <c r="W29" s="7">
        <v>10</v>
      </c>
      <c r="X29" s="7">
        <v>10</v>
      </c>
      <c r="Y29" s="7">
        <v>10</v>
      </c>
      <c r="Z29" s="7">
        <v>10</v>
      </c>
      <c r="AA29" s="7">
        <v>10</v>
      </c>
      <c r="AB29" s="7">
        <v>10</v>
      </c>
      <c r="AC29" s="7">
        <v>10</v>
      </c>
      <c r="AD29" s="7">
        <v>10</v>
      </c>
      <c r="AE29" s="7">
        <v>10</v>
      </c>
      <c r="AF29" s="7">
        <v>10</v>
      </c>
      <c r="AG29" s="7">
        <v>10</v>
      </c>
      <c r="AH29" s="7">
        <v>100</v>
      </c>
      <c r="AI29" s="7">
        <v>10</v>
      </c>
      <c r="AJ29" s="7">
        <v>10</v>
      </c>
      <c r="AK29" s="7">
        <v>10</v>
      </c>
      <c r="AL29" s="7">
        <v>10</v>
      </c>
      <c r="AM29" s="7">
        <v>500</v>
      </c>
      <c r="AN29" s="7">
        <v>80</v>
      </c>
      <c r="AO29" s="7">
        <v>10</v>
      </c>
      <c r="AP29" s="7">
        <v>10</v>
      </c>
      <c r="AQ29" s="7">
        <v>10</v>
      </c>
      <c r="AR29" s="7">
        <v>10</v>
      </c>
      <c r="AS29" s="7">
        <v>10</v>
      </c>
    </row>
    <row r="30" spans="1:45" x14ac:dyDescent="0.35">
      <c r="A30" t="s">
        <v>35</v>
      </c>
      <c r="B30" s="7">
        <v>500</v>
      </c>
      <c r="C30" s="7">
        <v>10</v>
      </c>
      <c r="D30" s="7">
        <v>10</v>
      </c>
      <c r="E30" s="7">
        <v>10</v>
      </c>
      <c r="F30" s="7">
        <v>10</v>
      </c>
      <c r="G30" s="7">
        <v>10</v>
      </c>
      <c r="H30" s="7">
        <v>10</v>
      </c>
      <c r="I30" s="7">
        <v>10</v>
      </c>
      <c r="J30" s="7">
        <v>10</v>
      </c>
      <c r="K30" s="7">
        <v>500</v>
      </c>
      <c r="L30" s="7">
        <v>10</v>
      </c>
      <c r="M30" s="7">
        <v>10</v>
      </c>
      <c r="N30" s="7">
        <v>10</v>
      </c>
      <c r="O30" s="7">
        <v>10</v>
      </c>
      <c r="P30" s="7">
        <v>10</v>
      </c>
      <c r="Q30" s="7">
        <v>10</v>
      </c>
      <c r="R30" s="7">
        <v>10</v>
      </c>
      <c r="S30" s="7">
        <v>10</v>
      </c>
      <c r="T30" s="7">
        <v>10</v>
      </c>
      <c r="U30" s="7">
        <v>10</v>
      </c>
      <c r="V30" s="7">
        <v>10</v>
      </c>
      <c r="W30" s="7">
        <v>10</v>
      </c>
      <c r="X30" s="7">
        <v>10</v>
      </c>
      <c r="Y30" s="7">
        <v>10</v>
      </c>
      <c r="Z30" s="7">
        <v>10</v>
      </c>
      <c r="AA30" s="7">
        <v>10</v>
      </c>
      <c r="AB30" s="7">
        <v>10</v>
      </c>
      <c r="AC30" s="7">
        <v>100</v>
      </c>
      <c r="AD30" s="7">
        <v>10</v>
      </c>
      <c r="AE30" s="7">
        <v>10</v>
      </c>
      <c r="AF30" s="7">
        <v>10</v>
      </c>
      <c r="AG30" s="7">
        <v>10</v>
      </c>
      <c r="AH30" s="7">
        <v>10</v>
      </c>
      <c r="AI30" s="7">
        <v>10</v>
      </c>
      <c r="AJ30" s="7">
        <v>10</v>
      </c>
      <c r="AK30" s="7">
        <v>10</v>
      </c>
      <c r="AL30" s="7">
        <v>10</v>
      </c>
      <c r="AM30" s="7">
        <v>10</v>
      </c>
      <c r="AN30" s="7">
        <v>10</v>
      </c>
      <c r="AO30" s="7">
        <v>10</v>
      </c>
      <c r="AP30" s="7">
        <v>10</v>
      </c>
      <c r="AQ30" s="7">
        <v>10</v>
      </c>
      <c r="AR30" s="7">
        <v>10</v>
      </c>
      <c r="AS30" s="7">
        <v>10</v>
      </c>
    </row>
    <row r="31" spans="1:45" x14ac:dyDescent="0.35">
      <c r="A31" t="s">
        <v>36</v>
      </c>
      <c r="B31" s="7">
        <v>10</v>
      </c>
      <c r="C31" s="7">
        <v>10</v>
      </c>
      <c r="D31" s="7">
        <v>10</v>
      </c>
      <c r="E31" s="7">
        <v>10</v>
      </c>
      <c r="F31" s="7">
        <v>10</v>
      </c>
      <c r="G31" s="7">
        <v>10</v>
      </c>
      <c r="H31" s="7">
        <v>260</v>
      </c>
      <c r="I31" s="7">
        <v>10</v>
      </c>
      <c r="J31" s="7">
        <v>10</v>
      </c>
      <c r="K31" s="7">
        <v>10</v>
      </c>
      <c r="L31" s="7">
        <v>10</v>
      </c>
      <c r="M31" s="7">
        <v>10</v>
      </c>
      <c r="N31" s="7">
        <v>10</v>
      </c>
      <c r="O31" s="7">
        <v>10</v>
      </c>
      <c r="P31" s="7">
        <v>10</v>
      </c>
      <c r="Q31" s="7">
        <v>10</v>
      </c>
      <c r="R31" s="7">
        <v>10</v>
      </c>
      <c r="S31" s="7">
        <v>10</v>
      </c>
      <c r="T31" s="7">
        <v>10</v>
      </c>
      <c r="U31" s="7">
        <v>10</v>
      </c>
      <c r="V31" s="7">
        <v>10</v>
      </c>
      <c r="W31" s="7">
        <v>10</v>
      </c>
      <c r="X31" s="7">
        <v>10</v>
      </c>
      <c r="Y31" s="7">
        <v>10</v>
      </c>
      <c r="Z31" s="7">
        <v>10</v>
      </c>
      <c r="AA31" s="7">
        <v>10</v>
      </c>
      <c r="AB31" s="7">
        <v>10</v>
      </c>
      <c r="AC31" s="7">
        <v>10</v>
      </c>
      <c r="AD31" s="7">
        <v>10</v>
      </c>
      <c r="AE31" s="7">
        <v>10</v>
      </c>
      <c r="AF31" s="7">
        <v>10</v>
      </c>
      <c r="AG31" s="7">
        <v>10</v>
      </c>
      <c r="AH31" s="7">
        <v>10</v>
      </c>
      <c r="AI31" s="7">
        <v>10</v>
      </c>
      <c r="AJ31" s="7">
        <v>10</v>
      </c>
      <c r="AK31" s="7">
        <v>10</v>
      </c>
      <c r="AL31" s="7">
        <v>10</v>
      </c>
      <c r="AM31" s="7">
        <v>10</v>
      </c>
      <c r="AN31" s="7">
        <v>200</v>
      </c>
      <c r="AO31" s="7">
        <v>10</v>
      </c>
      <c r="AP31" s="7">
        <v>10</v>
      </c>
      <c r="AQ31" s="7">
        <v>10</v>
      </c>
      <c r="AR31" s="7">
        <v>10</v>
      </c>
      <c r="AS31" s="7">
        <v>10</v>
      </c>
    </row>
    <row r="32" spans="1:45" x14ac:dyDescent="0.35">
      <c r="A32" t="s">
        <v>37</v>
      </c>
      <c r="B32" s="7">
        <v>10</v>
      </c>
      <c r="C32" s="7">
        <v>10</v>
      </c>
      <c r="D32" s="7">
        <v>10</v>
      </c>
      <c r="E32" s="7">
        <v>10</v>
      </c>
      <c r="F32" s="7">
        <v>10</v>
      </c>
      <c r="G32" s="7">
        <v>10</v>
      </c>
      <c r="H32" s="7">
        <v>10</v>
      </c>
      <c r="I32" s="7">
        <v>10</v>
      </c>
      <c r="J32" s="7">
        <v>10</v>
      </c>
      <c r="K32" s="7">
        <v>10</v>
      </c>
      <c r="L32" s="7">
        <v>3000</v>
      </c>
      <c r="M32" s="7">
        <v>10</v>
      </c>
      <c r="N32" s="7">
        <v>10</v>
      </c>
      <c r="O32" s="7">
        <v>10</v>
      </c>
      <c r="P32" s="7">
        <v>10</v>
      </c>
      <c r="Q32" s="7">
        <v>10</v>
      </c>
      <c r="R32" s="7">
        <v>10</v>
      </c>
      <c r="S32" s="7">
        <v>10</v>
      </c>
      <c r="T32" s="7">
        <v>10</v>
      </c>
      <c r="U32" s="7">
        <v>10</v>
      </c>
      <c r="V32" s="7">
        <v>10</v>
      </c>
      <c r="W32" s="7">
        <v>10</v>
      </c>
      <c r="X32" s="7">
        <v>10</v>
      </c>
      <c r="Y32" s="7">
        <v>10</v>
      </c>
      <c r="Z32" s="7">
        <v>10</v>
      </c>
      <c r="AA32" s="7">
        <v>10</v>
      </c>
      <c r="AB32" s="7">
        <v>10</v>
      </c>
      <c r="AC32" s="7">
        <v>10</v>
      </c>
      <c r="AD32" s="7">
        <v>10</v>
      </c>
      <c r="AE32" s="7">
        <v>10</v>
      </c>
      <c r="AF32" s="7">
        <v>10</v>
      </c>
      <c r="AG32" s="7">
        <v>10</v>
      </c>
      <c r="AH32" s="7">
        <v>10</v>
      </c>
      <c r="AI32" s="7">
        <v>10</v>
      </c>
      <c r="AJ32" s="7">
        <v>10</v>
      </c>
      <c r="AK32" s="7">
        <v>10</v>
      </c>
      <c r="AL32" s="7">
        <v>10</v>
      </c>
      <c r="AM32" s="7">
        <v>10</v>
      </c>
      <c r="AN32" s="7">
        <v>10</v>
      </c>
      <c r="AO32" s="7">
        <v>10</v>
      </c>
      <c r="AP32" s="7">
        <v>10</v>
      </c>
      <c r="AQ32" s="7">
        <v>10</v>
      </c>
      <c r="AR32" s="7">
        <v>10</v>
      </c>
      <c r="AS32" s="7">
        <v>10</v>
      </c>
    </row>
    <row r="33" spans="1:45" x14ac:dyDescent="0.35">
      <c r="A33" t="s">
        <v>38</v>
      </c>
      <c r="B33" s="7">
        <v>10</v>
      </c>
      <c r="C33" s="7">
        <v>10</v>
      </c>
      <c r="D33" s="7">
        <v>10</v>
      </c>
      <c r="E33" s="7">
        <v>10</v>
      </c>
      <c r="F33" s="7">
        <v>10</v>
      </c>
      <c r="G33" s="7">
        <v>10</v>
      </c>
      <c r="H33" s="7">
        <v>10</v>
      </c>
      <c r="I33" s="7">
        <v>10</v>
      </c>
      <c r="J33" s="7">
        <v>10</v>
      </c>
      <c r="K33" s="7">
        <v>10</v>
      </c>
      <c r="L33" s="7">
        <v>10</v>
      </c>
      <c r="M33" s="7">
        <v>10</v>
      </c>
      <c r="N33" s="7">
        <v>10</v>
      </c>
      <c r="O33" s="7">
        <v>10</v>
      </c>
      <c r="P33" s="7">
        <v>10</v>
      </c>
      <c r="Q33" s="7">
        <v>10</v>
      </c>
      <c r="R33" s="7">
        <v>10</v>
      </c>
      <c r="S33" s="7">
        <v>10</v>
      </c>
      <c r="T33" s="7">
        <v>10</v>
      </c>
      <c r="U33" s="7">
        <v>10</v>
      </c>
      <c r="V33" s="7">
        <v>10</v>
      </c>
      <c r="W33" s="7">
        <v>10</v>
      </c>
      <c r="X33" s="7">
        <v>10</v>
      </c>
      <c r="Y33" s="7">
        <v>10</v>
      </c>
      <c r="Z33" s="7">
        <v>10</v>
      </c>
      <c r="AA33" s="7">
        <v>10</v>
      </c>
      <c r="AB33" s="7">
        <v>10</v>
      </c>
      <c r="AC33" s="7">
        <v>10</v>
      </c>
      <c r="AD33" s="7">
        <v>10</v>
      </c>
      <c r="AE33" s="7">
        <v>10</v>
      </c>
      <c r="AF33" s="7">
        <v>10</v>
      </c>
      <c r="AG33" s="7">
        <v>10</v>
      </c>
      <c r="AH33" s="7">
        <v>10</v>
      </c>
      <c r="AI33" s="7">
        <v>10</v>
      </c>
      <c r="AJ33" s="7">
        <v>10</v>
      </c>
      <c r="AK33" s="7">
        <v>10</v>
      </c>
      <c r="AL33" s="7">
        <v>10</v>
      </c>
      <c r="AM33" s="7">
        <v>10</v>
      </c>
      <c r="AN33" s="7">
        <v>10</v>
      </c>
      <c r="AO33" s="7">
        <v>10</v>
      </c>
      <c r="AP33" s="7">
        <v>10</v>
      </c>
      <c r="AQ33" s="7">
        <v>10</v>
      </c>
      <c r="AR33" s="7">
        <v>10</v>
      </c>
      <c r="AS33" s="7">
        <v>10</v>
      </c>
    </row>
    <row r="34" spans="1:45" x14ac:dyDescent="0.35">
      <c r="A34" t="s">
        <v>39</v>
      </c>
      <c r="B34" s="7">
        <v>10</v>
      </c>
      <c r="C34" s="7">
        <v>32</v>
      </c>
      <c r="D34" s="7">
        <v>40</v>
      </c>
      <c r="E34" s="7">
        <v>10</v>
      </c>
      <c r="F34" s="7">
        <v>10</v>
      </c>
      <c r="G34" s="7">
        <v>10</v>
      </c>
      <c r="H34" s="7">
        <v>10</v>
      </c>
      <c r="I34" s="7">
        <v>40</v>
      </c>
      <c r="J34" s="7">
        <v>10</v>
      </c>
      <c r="K34" s="7">
        <v>10</v>
      </c>
      <c r="L34" s="7">
        <v>10</v>
      </c>
      <c r="M34" s="7">
        <v>46</v>
      </c>
      <c r="N34" s="7">
        <v>10</v>
      </c>
      <c r="O34" s="7">
        <v>10</v>
      </c>
      <c r="P34" s="7">
        <v>10</v>
      </c>
      <c r="Q34" s="7">
        <v>10</v>
      </c>
      <c r="R34" s="7">
        <v>10</v>
      </c>
      <c r="S34" s="7">
        <v>10</v>
      </c>
      <c r="T34" s="7">
        <v>10</v>
      </c>
      <c r="U34" s="7">
        <v>10</v>
      </c>
      <c r="V34" s="7">
        <v>10</v>
      </c>
      <c r="W34" s="7">
        <v>10</v>
      </c>
      <c r="X34" s="7">
        <v>10</v>
      </c>
      <c r="Y34" s="7">
        <v>10</v>
      </c>
      <c r="Z34" s="7">
        <v>100</v>
      </c>
      <c r="AA34" s="7">
        <v>60</v>
      </c>
      <c r="AB34" s="7">
        <v>10</v>
      </c>
      <c r="AC34" s="7">
        <v>10</v>
      </c>
      <c r="AD34" s="7">
        <v>40</v>
      </c>
      <c r="AE34" s="7">
        <v>10</v>
      </c>
      <c r="AF34" s="7">
        <v>10</v>
      </c>
      <c r="AG34" s="7">
        <v>10</v>
      </c>
      <c r="AH34" s="7">
        <v>10</v>
      </c>
      <c r="AI34" s="7">
        <v>10</v>
      </c>
      <c r="AJ34" s="7">
        <v>10</v>
      </c>
      <c r="AK34" s="7">
        <v>10</v>
      </c>
      <c r="AL34" s="7">
        <v>25</v>
      </c>
      <c r="AM34" s="7">
        <v>10</v>
      </c>
      <c r="AN34" s="7">
        <v>10</v>
      </c>
      <c r="AO34" s="7">
        <v>10</v>
      </c>
      <c r="AP34" s="7">
        <v>10</v>
      </c>
      <c r="AQ34" s="7">
        <v>10</v>
      </c>
      <c r="AR34" s="7">
        <v>10</v>
      </c>
      <c r="AS34" s="7">
        <v>10</v>
      </c>
    </row>
    <row r="35" spans="1:45" x14ac:dyDescent="0.35">
      <c r="A35" t="s">
        <v>40</v>
      </c>
      <c r="B35" s="7">
        <v>10</v>
      </c>
      <c r="C35" s="7">
        <v>10</v>
      </c>
      <c r="D35" s="7">
        <v>10</v>
      </c>
      <c r="E35" s="7">
        <v>10</v>
      </c>
      <c r="F35" s="7">
        <v>10</v>
      </c>
      <c r="G35" s="7">
        <v>10</v>
      </c>
      <c r="H35" s="7">
        <v>40</v>
      </c>
      <c r="I35" s="7">
        <v>10</v>
      </c>
      <c r="J35" s="7">
        <v>10</v>
      </c>
      <c r="K35" s="7">
        <v>10</v>
      </c>
      <c r="L35" s="7">
        <v>10</v>
      </c>
      <c r="M35" s="7">
        <v>48</v>
      </c>
      <c r="N35" s="7">
        <v>40</v>
      </c>
      <c r="O35" s="7">
        <v>70</v>
      </c>
      <c r="P35" s="7">
        <v>10</v>
      </c>
      <c r="Q35" s="7">
        <v>10</v>
      </c>
      <c r="R35" s="7">
        <v>40</v>
      </c>
      <c r="S35" s="7">
        <v>10</v>
      </c>
      <c r="T35" s="7">
        <v>10</v>
      </c>
      <c r="U35" s="7">
        <v>10</v>
      </c>
      <c r="V35" s="7">
        <v>10</v>
      </c>
      <c r="W35" s="7">
        <v>10</v>
      </c>
      <c r="X35" s="7">
        <v>40</v>
      </c>
      <c r="Y35" s="7">
        <v>40</v>
      </c>
      <c r="Z35" s="7">
        <v>10</v>
      </c>
      <c r="AA35" s="7">
        <v>10</v>
      </c>
      <c r="AB35" s="7">
        <v>40</v>
      </c>
      <c r="AC35" s="7">
        <v>40</v>
      </c>
      <c r="AD35" s="7">
        <v>10</v>
      </c>
      <c r="AE35" s="7">
        <v>10</v>
      </c>
      <c r="AF35" s="7">
        <v>10</v>
      </c>
      <c r="AG35" s="7">
        <v>10</v>
      </c>
      <c r="AH35" s="7">
        <v>40</v>
      </c>
      <c r="AI35" s="7">
        <v>10</v>
      </c>
      <c r="AJ35" s="7">
        <v>10</v>
      </c>
      <c r="AK35" s="7">
        <v>10</v>
      </c>
      <c r="AL35" s="7">
        <v>40</v>
      </c>
      <c r="AM35" s="7">
        <v>10</v>
      </c>
      <c r="AN35" s="7">
        <v>10</v>
      </c>
      <c r="AO35" s="7">
        <v>10</v>
      </c>
      <c r="AP35" s="7">
        <v>10</v>
      </c>
      <c r="AQ35" s="7">
        <v>10</v>
      </c>
      <c r="AR35" s="7">
        <v>10</v>
      </c>
      <c r="AS35" s="7">
        <v>10</v>
      </c>
    </row>
    <row r="36" spans="1:45" x14ac:dyDescent="0.35">
      <c r="A36" t="s">
        <v>41</v>
      </c>
      <c r="B36" s="7">
        <v>10</v>
      </c>
      <c r="C36" s="7">
        <v>10</v>
      </c>
      <c r="D36" s="7">
        <v>10</v>
      </c>
      <c r="E36" s="7">
        <v>10</v>
      </c>
      <c r="F36" s="7">
        <v>10</v>
      </c>
      <c r="G36" s="7">
        <v>10</v>
      </c>
      <c r="H36" s="7">
        <v>10</v>
      </c>
      <c r="I36" s="7">
        <v>10</v>
      </c>
      <c r="J36" s="7">
        <v>10</v>
      </c>
      <c r="K36" s="7">
        <v>10</v>
      </c>
      <c r="L36" s="7">
        <v>10</v>
      </c>
      <c r="M36" s="7">
        <v>10</v>
      </c>
      <c r="N36" s="7">
        <v>10</v>
      </c>
      <c r="O36" s="7">
        <v>10</v>
      </c>
      <c r="P36" s="7">
        <v>10</v>
      </c>
      <c r="Q36" s="7">
        <v>10</v>
      </c>
      <c r="R36" s="7">
        <v>10</v>
      </c>
      <c r="S36" s="7">
        <v>10</v>
      </c>
      <c r="T36" s="7">
        <v>10</v>
      </c>
      <c r="U36" s="7">
        <v>10</v>
      </c>
      <c r="V36" s="7">
        <v>10</v>
      </c>
      <c r="W36" s="7">
        <v>10</v>
      </c>
      <c r="X36" s="7">
        <v>10</v>
      </c>
      <c r="Y36" s="7">
        <v>10</v>
      </c>
      <c r="Z36" s="7">
        <v>10</v>
      </c>
      <c r="AA36" s="7">
        <v>10</v>
      </c>
      <c r="AB36" s="7">
        <v>10</v>
      </c>
      <c r="AC36" s="7">
        <v>10</v>
      </c>
      <c r="AD36" s="7">
        <v>10</v>
      </c>
      <c r="AE36" s="7">
        <v>100</v>
      </c>
      <c r="AF36" s="7">
        <v>10</v>
      </c>
      <c r="AG36" s="7">
        <v>10</v>
      </c>
      <c r="AH36" s="7">
        <v>10</v>
      </c>
      <c r="AI36" s="7">
        <v>10</v>
      </c>
      <c r="AJ36" s="7">
        <v>10</v>
      </c>
      <c r="AK36" s="7">
        <v>10</v>
      </c>
      <c r="AL36" s="7">
        <v>10</v>
      </c>
      <c r="AM36" s="7">
        <v>10</v>
      </c>
      <c r="AN36" s="7">
        <v>10</v>
      </c>
      <c r="AO36" s="7">
        <v>10</v>
      </c>
      <c r="AP36" s="7">
        <v>10</v>
      </c>
      <c r="AQ36" s="7">
        <v>10</v>
      </c>
      <c r="AR36" s="7">
        <v>10</v>
      </c>
      <c r="AS36" s="7">
        <v>10</v>
      </c>
    </row>
    <row r="37" spans="1:45" x14ac:dyDescent="0.35">
      <c r="A37" t="s">
        <v>42</v>
      </c>
      <c r="B37" s="7">
        <v>10</v>
      </c>
      <c r="C37" s="7">
        <v>10</v>
      </c>
      <c r="D37" s="7">
        <v>10</v>
      </c>
      <c r="E37" s="7">
        <v>10</v>
      </c>
      <c r="F37" s="7">
        <v>10</v>
      </c>
      <c r="G37" s="7">
        <v>30</v>
      </c>
      <c r="H37" s="7">
        <v>10</v>
      </c>
      <c r="I37" s="7">
        <v>10</v>
      </c>
      <c r="J37" s="7">
        <v>10</v>
      </c>
      <c r="K37" s="7">
        <v>10</v>
      </c>
      <c r="L37" s="7">
        <v>10</v>
      </c>
      <c r="M37" s="7">
        <v>10</v>
      </c>
      <c r="N37" s="7">
        <v>20</v>
      </c>
      <c r="O37" s="7">
        <v>10</v>
      </c>
      <c r="P37" s="7">
        <v>10</v>
      </c>
      <c r="Q37" s="7">
        <v>10</v>
      </c>
      <c r="R37" s="7">
        <v>10</v>
      </c>
      <c r="S37" s="7">
        <v>10</v>
      </c>
      <c r="T37" s="7">
        <v>10</v>
      </c>
      <c r="U37" s="7">
        <v>10</v>
      </c>
      <c r="V37" s="7">
        <v>10</v>
      </c>
      <c r="W37" s="7">
        <v>10</v>
      </c>
      <c r="X37" s="7">
        <v>10</v>
      </c>
      <c r="Y37" s="7">
        <v>10</v>
      </c>
      <c r="Z37" s="7">
        <v>10</v>
      </c>
      <c r="AA37" s="7">
        <v>10</v>
      </c>
      <c r="AB37" s="7">
        <v>10</v>
      </c>
      <c r="AC37" s="7">
        <v>10</v>
      </c>
      <c r="AD37" s="7">
        <v>10</v>
      </c>
      <c r="AE37" s="7">
        <v>10</v>
      </c>
      <c r="AF37" s="7">
        <v>10</v>
      </c>
      <c r="AG37" s="7">
        <v>10</v>
      </c>
      <c r="AH37" s="7">
        <v>10</v>
      </c>
      <c r="AI37" s="7">
        <v>10</v>
      </c>
      <c r="AJ37" s="7">
        <v>10</v>
      </c>
      <c r="AK37" s="7">
        <v>20</v>
      </c>
      <c r="AL37" s="7">
        <v>10</v>
      </c>
      <c r="AM37" s="7">
        <v>10</v>
      </c>
      <c r="AN37" s="7">
        <v>10</v>
      </c>
      <c r="AO37" s="7">
        <v>10</v>
      </c>
      <c r="AP37" s="7">
        <v>10</v>
      </c>
      <c r="AQ37" s="7">
        <v>10</v>
      </c>
      <c r="AR37" s="7">
        <v>200</v>
      </c>
      <c r="AS37" s="7">
        <v>10</v>
      </c>
    </row>
    <row r="38" spans="1:45" x14ac:dyDescent="0.35">
      <c r="A38" t="s">
        <v>43</v>
      </c>
      <c r="B38" s="7">
        <v>10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140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280</v>
      </c>
      <c r="AB38" s="7">
        <v>10</v>
      </c>
      <c r="AC38" s="7">
        <v>10</v>
      </c>
      <c r="AD38" s="7">
        <v>10</v>
      </c>
      <c r="AE38" s="7">
        <v>10</v>
      </c>
      <c r="AF38" s="7">
        <v>10</v>
      </c>
      <c r="AG38" s="7">
        <v>10</v>
      </c>
      <c r="AH38" s="7">
        <v>10</v>
      </c>
      <c r="AI38" s="7">
        <v>180</v>
      </c>
      <c r="AJ38" s="7">
        <v>10</v>
      </c>
      <c r="AK38" s="7">
        <v>10</v>
      </c>
      <c r="AL38" s="7">
        <v>10</v>
      </c>
      <c r="AM38" s="7">
        <v>10</v>
      </c>
      <c r="AN38" s="7">
        <v>10</v>
      </c>
      <c r="AO38" s="7">
        <v>10</v>
      </c>
      <c r="AP38" s="7">
        <v>10</v>
      </c>
      <c r="AQ38" s="7">
        <v>10</v>
      </c>
      <c r="AR38" s="7">
        <v>10</v>
      </c>
      <c r="AS38" s="7">
        <v>10</v>
      </c>
    </row>
    <row r="39" spans="1:45" x14ac:dyDescent="0.35">
      <c r="A39" t="s">
        <v>44</v>
      </c>
      <c r="B39" s="7">
        <v>10</v>
      </c>
      <c r="C39" s="7">
        <v>10</v>
      </c>
      <c r="D39" s="7">
        <v>10</v>
      </c>
      <c r="E39" s="7">
        <v>10</v>
      </c>
      <c r="F39" s="7">
        <v>10</v>
      </c>
      <c r="G39" s="7">
        <v>10</v>
      </c>
      <c r="H39" s="7">
        <v>10</v>
      </c>
      <c r="I39" s="7">
        <v>10</v>
      </c>
      <c r="J39" s="7">
        <v>10</v>
      </c>
      <c r="K39" s="7">
        <v>10</v>
      </c>
      <c r="L39" s="7">
        <v>10</v>
      </c>
      <c r="M39" s="7">
        <v>10</v>
      </c>
      <c r="N39" s="7">
        <v>10</v>
      </c>
      <c r="O39" s="7">
        <v>10</v>
      </c>
      <c r="P39" s="7">
        <v>10</v>
      </c>
      <c r="Q39" s="7">
        <v>10</v>
      </c>
      <c r="R39" s="7">
        <v>10</v>
      </c>
      <c r="S39" s="7">
        <v>10</v>
      </c>
      <c r="T39" s="7">
        <v>10</v>
      </c>
      <c r="U39" s="7">
        <v>10</v>
      </c>
      <c r="V39" s="7">
        <v>10</v>
      </c>
      <c r="W39" s="7">
        <v>10</v>
      </c>
      <c r="X39" s="7">
        <v>10</v>
      </c>
      <c r="Y39" s="7">
        <v>10</v>
      </c>
      <c r="Z39" s="7">
        <v>10</v>
      </c>
      <c r="AA39" s="7">
        <v>10</v>
      </c>
      <c r="AB39" s="7">
        <v>10</v>
      </c>
      <c r="AC39" s="7">
        <v>10</v>
      </c>
      <c r="AD39" s="7">
        <v>10</v>
      </c>
      <c r="AE39" s="7">
        <v>10</v>
      </c>
      <c r="AF39" s="7">
        <v>10</v>
      </c>
      <c r="AG39" s="7">
        <v>10</v>
      </c>
      <c r="AH39" s="7">
        <v>10</v>
      </c>
      <c r="AI39" s="7">
        <v>10</v>
      </c>
      <c r="AJ39" s="7">
        <v>10</v>
      </c>
      <c r="AK39" s="7">
        <v>10</v>
      </c>
      <c r="AL39" s="7">
        <v>10</v>
      </c>
      <c r="AM39" s="7">
        <v>10</v>
      </c>
      <c r="AN39" s="7">
        <v>10</v>
      </c>
      <c r="AO39" s="7">
        <v>10</v>
      </c>
      <c r="AP39" s="7">
        <v>10</v>
      </c>
      <c r="AQ39" s="7">
        <v>10</v>
      </c>
      <c r="AR39" s="7">
        <v>10</v>
      </c>
      <c r="AS39" s="7">
        <v>400</v>
      </c>
    </row>
    <row r="40" spans="1:45" x14ac:dyDescent="0.35">
      <c r="A40" t="s">
        <v>45</v>
      </c>
      <c r="B40" s="7">
        <v>10</v>
      </c>
      <c r="C40" s="7">
        <v>10</v>
      </c>
      <c r="D40" s="7">
        <v>10</v>
      </c>
      <c r="E40" s="7">
        <v>10</v>
      </c>
      <c r="F40" s="7">
        <v>10</v>
      </c>
      <c r="G40" s="7">
        <v>500</v>
      </c>
      <c r="H40" s="7">
        <v>10</v>
      </c>
      <c r="I40" s="7">
        <v>10</v>
      </c>
      <c r="J40" s="7">
        <v>10</v>
      </c>
      <c r="K40" s="7">
        <v>10</v>
      </c>
      <c r="L40" s="7">
        <v>10</v>
      </c>
      <c r="M40" s="7">
        <v>10</v>
      </c>
      <c r="N40" s="7">
        <v>10</v>
      </c>
      <c r="O40" s="7">
        <v>10</v>
      </c>
      <c r="P40" s="7">
        <v>10</v>
      </c>
      <c r="Q40" s="7">
        <v>10</v>
      </c>
      <c r="R40" s="7">
        <v>10</v>
      </c>
      <c r="S40" s="7">
        <v>10</v>
      </c>
      <c r="T40" s="7">
        <v>10</v>
      </c>
      <c r="U40" s="7">
        <v>10</v>
      </c>
      <c r="V40" s="7">
        <v>10</v>
      </c>
      <c r="W40" s="7">
        <v>10</v>
      </c>
      <c r="X40" s="7">
        <v>10</v>
      </c>
      <c r="Y40" s="7">
        <v>10</v>
      </c>
      <c r="Z40" s="7">
        <v>10</v>
      </c>
      <c r="AA40" s="7">
        <v>10</v>
      </c>
      <c r="AB40" s="7">
        <v>500</v>
      </c>
      <c r="AC40" s="7">
        <v>100</v>
      </c>
      <c r="AD40" s="7">
        <v>10</v>
      </c>
      <c r="AE40" s="7">
        <v>10</v>
      </c>
      <c r="AF40" s="7">
        <v>10</v>
      </c>
      <c r="AG40" s="7">
        <v>10</v>
      </c>
      <c r="AH40" s="7">
        <v>10</v>
      </c>
      <c r="AI40" s="7">
        <v>10</v>
      </c>
      <c r="AJ40" s="7">
        <v>10</v>
      </c>
      <c r="AK40" s="7">
        <v>10</v>
      </c>
      <c r="AL40" s="7">
        <v>10</v>
      </c>
      <c r="AM40" s="7">
        <v>10</v>
      </c>
      <c r="AN40" s="7">
        <v>10</v>
      </c>
      <c r="AO40" s="7">
        <v>10</v>
      </c>
      <c r="AP40" s="7">
        <v>10</v>
      </c>
      <c r="AQ40" s="7">
        <v>10</v>
      </c>
      <c r="AR40" s="7">
        <v>10</v>
      </c>
      <c r="AS40" s="7">
        <v>10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6BEB7-60D3-4955-A986-64FD136A02EA}">
  <sheetPr codeName="Tabelle4"/>
  <dimension ref="A1:E40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6.6328125" customWidth="1"/>
    <col min="2" max="5" width="24.6328125" customWidth="1"/>
  </cols>
  <sheetData>
    <row r="1" spans="1:5" x14ac:dyDescent="0.35">
      <c r="A1" s="2" t="s">
        <v>0</v>
      </c>
      <c r="B1" s="2" t="s">
        <v>144</v>
      </c>
      <c r="C1" s="2" t="s">
        <v>145</v>
      </c>
      <c r="D1" s="2" t="s">
        <v>146</v>
      </c>
      <c r="E1" s="2" t="s">
        <v>147</v>
      </c>
    </row>
    <row r="2" spans="1:5" x14ac:dyDescent="0.35">
      <c r="A2" t="s">
        <v>7</v>
      </c>
      <c r="B2" s="8">
        <v>0.99983333333333335</v>
      </c>
      <c r="C2" s="8">
        <v>1</v>
      </c>
      <c r="D2" s="8">
        <v>1</v>
      </c>
      <c r="E2" s="8">
        <v>1</v>
      </c>
    </row>
    <row r="3" spans="1:5" x14ac:dyDescent="0.35">
      <c r="A3" t="s">
        <v>8</v>
      </c>
      <c r="B3" s="8">
        <v>0.89166666666666672</v>
      </c>
      <c r="C3" s="8">
        <v>0.98933333333333329</v>
      </c>
      <c r="D3" s="8">
        <v>1</v>
      </c>
      <c r="E3" s="8">
        <v>1</v>
      </c>
    </row>
    <row r="4" spans="1:5" x14ac:dyDescent="0.35">
      <c r="A4" t="s">
        <v>9</v>
      </c>
      <c r="B4" s="8">
        <v>0.84833333333333338</v>
      </c>
      <c r="C4" s="8">
        <v>0.97183333333333333</v>
      </c>
      <c r="D4" s="8">
        <v>0.83583333333333332</v>
      </c>
      <c r="E4" s="8">
        <v>0.96299999999999997</v>
      </c>
    </row>
    <row r="5" spans="1:5" x14ac:dyDescent="0.35">
      <c r="A5" t="s">
        <v>10</v>
      </c>
      <c r="B5" s="8">
        <v>0.75383333333333336</v>
      </c>
      <c r="C5" s="8">
        <v>0.92466666666666664</v>
      </c>
      <c r="D5" s="8">
        <v>0.75683333333333336</v>
      </c>
      <c r="E5" s="8">
        <v>0.92149999999999999</v>
      </c>
    </row>
    <row r="6" spans="1:5" x14ac:dyDescent="0.35">
      <c r="A6" t="s">
        <v>11</v>
      </c>
      <c r="B6" s="8">
        <v>0.52249999999999996</v>
      </c>
      <c r="C6" s="8">
        <v>0.80883333333333329</v>
      </c>
      <c r="D6" s="8">
        <v>3.2500000000000001E-2</v>
      </c>
      <c r="E6" s="8">
        <v>5.2499999999999998E-2</v>
      </c>
    </row>
    <row r="7" spans="1:5" x14ac:dyDescent="0.35">
      <c r="A7" t="s">
        <v>12</v>
      </c>
      <c r="B7" s="8">
        <v>1</v>
      </c>
      <c r="C7" s="8">
        <v>1</v>
      </c>
      <c r="D7" s="8">
        <v>0.99983333333333335</v>
      </c>
      <c r="E7" s="8">
        <v>1</v>
      </c>
    </row>
    <row r="8" spans="1:5" x14ac:dyDescent="0.35">
      <c r="A8" t="s">
        <v>13</v>
      </c>
      <c r="B8" s="8">
        <v>0.6928333333333333</v>
      </c>
      <c r="C8" s="8">
        <v>0.95516666666666672</v>
      </c>
      <c r="D8" s="8">
        <v>8.1666666666666665E-2</v>
      </c>
      <c r="E8" s="8">
        <v>0.14966666666666667</v>
      </c>
    </row>
    <row r="9" spans="1:5" x14ac:dyDescent="0.35">
      <c r="A9" t="s">
        <v>14</v>
      </c>
      <c r="B9" s="8">
        <v>3.8166666666666668E-2</v>
      </c>
      <c r="C9" s="8">
        <v>5.8333333333333334E-2</v>
      </c>
      <c r="D9" s="8">
        <v>7.9166666666666663E-2</v>
      </c>
      <c r="E9" s="8">
        <v>0.15566666666666668</v>
      </c>
    </row>
    <row r="10" spans="1:5" x14ac:dyDescent="0.35">
      <c r="A10" t="s">
        <v>15</v>
      </c>
      <c r="B10" s="8">
        <v>0.78533333333333333</v>
      </c>
      <c r="C10" s="8">
        <v>0.91700000000000004</v>
      </c>
      <c r="D10" s="8">
        <v>0.86733333333333329</v>
      </c>
      <c r="E10" s="8">
        <v>0.97633333333333339</v>
      </c>
    </row>
    <row r="11" spans="1:5" x14ac:dyDescent="0.35">
      <c r="A11" t="s">
        <v>16</v>
      </c>
      <c r="B11" s="8">
        <v>0.78233333333333333</v>
      </c>
      <c r="C11" s="8">
        <v>0.92083333333333328</v>
      </c>
      <c r="D11" s="8">
        <v>0.89966666666666661</v>
      </c>
      <c r="E11" s="8">
        <v>0.98666666666666669</v>
      </c>
    </row>
    <row r="12" spans="1:5" x14ac:dyDescent="0.35">
      <c r="A12" t="s">
        <v>17</v>
      </c>
      <c r="B12" s="8">
        <v>0.62083333333333335</v>
      </c>
      <c r="C12" s="8">
        <v>0.86916666666666664</v>
      </c>
      <c r="D12" s="8">
        <v>0.94883333333333331</v>
      </c>
      <c r="E12" s="8">
        <v>0.9976666666666667</v>
      </c>
    </row>
    <row r="13" spans="1:5" x14ac:dyDescent="0.35">
      <c r="A13" t="s">
        <v>18</v>
      </c>
      <c r="B13" s="8">
        <v>0.67449999999999999</v>
      </c>
      <c r="C13" s="8">
        <v>0.84883333333333333</v>
      </c>
      <c r="D13" s="8">
        <v>0.86350000000000005</v>
      </c>
      <c r="E13" s="8">
        <v>0.96733333333333338</v>
      </c>
    </row>
    <row r="14" spans="1:5" x14ac:dyDescent="0.35">
      <c r="A14" t="s">
        <v>19</v>
      </c>
      <c r="B14" s="8">
        <v>0.78833333333333333</v>
      </c>
      <c r="C14" s="8">
        <v>0.95283333333333331</v>
      </c>
      <c r="D14" s="8">
        <v>0.89066666666666672</v>
      </c>
      <c r="E14" s="8">
        <v>0.98366666666666669</v>
      </c>
    </row>
    <row r="15" spans="1:5" x14ac:dyDescent="0.35">
      <c r="A15" t="s">
        <v>20</v>
      </c>
      <c r="B15" s="8">
        <v>1</v>
      </c>
      <c r="C15" s="8">
        <v>1</v>
      </c>
      <c r="D15" s="8">
        <v>0.99983333333333335</v>
      </c>
      <c r="E15" s="8">
        <v>1</v>
      </c>
    </row>
    <row r="16" spans="1:5" x14ac:dyDescent="0.35">
      <c r="A16" t="s">
        <v>21</v>
      </c>
      <c r="B16" s="8">
        <v>0.71516666666666662</v>
      </c>
      <c r="C16" s="8">
        <v>0.95266666666666666</v>
      </c>
      <c r="D16" s="8">
        <v>0.10216666666666667</v>
      </c>
      <c r="E16" s="8">
        <v>0.191</v>
      </c>
    </row>
    <row r="17" spans="1:5" x14ac:dyDescent="0.35">
      <c r="A17" t="s">
        <v>22</v>
      </c>
      <c r="B17" s="8">
        <v>0.92716666666666669</v>
      </c>
      <c r="C17" s="8">
        <v>0.99533333333333329</v>
      </c>
      <c r="D17" s="8">
        <v>0.80383333333333329</v>
      </c>
      <c r="E17" s="8">
        <v>0.9405</v>
      </c>
    </row>
    <row r="18" spans="1:5" x14ac:dyDescent="0.35">
      <c r="A18" t="s">
        <v>23</v>
      </c>
      <c r="B18" s="8">
        <v>0.99983333333333335</v>
      </c>
      <c r="C18" s="8">
        <v>1</v>
      </c>
      <c r="D18" s="8">
        <v>0.9996666666666667</v>
      </c>
      <c r="E18" s="8">
        <v>1</v>
      </c>
    </row>
    <row r="19" spans="1:5" x14ac:dyDescent="0.35">
      <c r="A19" t="s">
        <v>24</v>
      </c>
      <c r="B19" s="8">
        <v>1</v>
      </c>
      <c r="C19" s="8">
        <v>1</v>
      </c>
      <c r="D19" s="8">
        <v>1</v>
      </c>
      <c r="E19" s="8">
        <v>1</v>
      </c>
    </row>
    <row r="20" spans="1:5" x14ac:dyDescent="0.35">
      <c r="A20" t="s">
        <v>25</v>
      </c>
      <c r="B20" s="8">
        <v>0.37333333333333335</v>
      </c>
      <c r="C20" s="8">
        <v>0.53800000000000003</v>
      </c>
      <c r="D20" s="8">
        <v>0.97150000000000003</v>
      </c>
      <c r="E20" s="8">
        <v>0.99833333333333329</v>
      </c>
    </row>
    <row r="21" spans="1:5" x14ac:dyDescent="0.35">
      <c r="A21" t="s">
        <v>26</v>
      </c>
      <c r="B21" s="8">
        <v>0.99983333333333335</v>
      </c>
      <c r="C21" s="8">
        <v>1</v>
      </c>
      <c r="D21" s="8">
        <v>1</v>
      </c>
      <c r="E21" s="8">
        <v>1</v>
      </c>
    </row>
    <row r="22" spans="1:5" x14ac:dyDescent="0.35">
      <c r="A22" t="s">
        <v>27</v>
      </c>
      <c r="B22" s="8">
        <v>1</v>
      </c>
      <c r="C22" s="8">
        <v>1</v>
      </c>
      <c r="D22" s="8">
        <v>1</v>
      </c>
      <c r="E22" s="8">
        <v>1</v>
      </c>
    </row>
    <row r="23" spans="1:5" x14ac:dyDescent="0.35">
      <c r="A23" t="s">
        <v>28</v>
      </c>
      <c r="B23" s="8">
        <v>1</v>
      </c>
      <c r="C23" s="8">
        <v>1</v>
      </c>
      <c r="D23" s="8">
        <v>0.9926666666666667</v>
      </c>
      <c r="E23" s="8">
        <v>0.99983333333333335</v>
      </c>
    </row>
    <row r="24" spans="1:5" x14ac:dyDescent="0.35">
      <c r="A24" t="s">
        <v>29</v>
      </c>
      <c r="B24" s="8">
        <v>1</v>
      </c>
      <c r="C24" s="8">
        <v>1</v>
      </c>
      <c r="D24" s="8">
        <v>0.99983333333333335</v>
      </c>
      <c r="E24" s="8">
        <v>1</v>
      </c>
    </row>
    <row r="25" spans="1:5" x14ac:dyDescent="0.35">
      <c r="A25" t="s">
        <v>30</v>
      </c>
      <c r="B25" s="8">
        <v>0.85183333333333333</v>
      </c>
      <c r="C25" s="8">
        <v>0.97650000000000003</v>
      </c>
      <c r="D25" s="8">
        <v>0.83716666666666661</v>
      </c>
      <c r="E25" s="8">
        <v>0.96050000000000002</v>
      </c>
    </row>
    <row r="26" spans="1:5" x14ac:dyDescent="0.35">
      <c r="A26" t="s">
        <v>31</v>
      </c>
      <c r="B26" s="8">
        <v>0.84150000000000003</v>
      </c>
      <c r="C26" s="8">
        <v>0.97066666666666668</v>
      </c>
      <c r="D26" s="8">
        <v>0.90566666666666662</v>
      </c>
      <c r="E26" s="8">
        <v>0.98483333333333334</v>
      </c>
    </row>
    <row r="27" spans="1:5" x14ac:dyDescent="0.35">
      <c r="A27" t="s">
        <v>32</v>
      </c>
      <c r="B27" s="8">
        <v>0.99983333333333335</v>
      </c>
      <c r="C27" s="8">
        <v>1</v>
      </c>
      <c r="D27" s="8">
        <v>0.99983333333333335</v>
      </c>
      <c r="E27" s="8">
        <v>1</v>
      </c>
    </row>
    <row r="28" spans="1:5" x14ac:dyDescent="0.35">
      <c r="A28" t="s">
        <v>33</v>
      </c>
      <c r="B28" s="8">
        <v>1</v>
      </c>
      <c r="C28" s="8">
        <v>1</v>
      </c>
      <c r="D28" s="8">
        <v>0.99983333333333335</v>
      </c>
      <c r="E28" s="8">
        <v>1</v>
      </c>
    </row>
    <row r="29" spans="1:5" x14ac:dyDescent="0.35">
      <c r="A29" t="s">
        <v>34</v>
      </c>
      <c r="B29" s="8">
        <v>0.56033333333333335</v>
      </c>
      <c r="C29" s="8">
        <v>0.75466666666666671</v>
      </c>
      <c r="D29" s="8">
        <v>0.95766666666666667</v>
      </c>
      <c r="E29" s="8">
        <v>0.99816666666666665</v>
      </c>
    </row>
    <row r="30" spans="1:5" x14ac:dyDescent="0.35">
      <c r="A30" t="s">
        <v>35</v>
      </c>
      <c r="B30" s="8">
        <v>0.9996666666666667</v>
      </c>
      <c r="C30" s="8">
        <v>1</v>
      </c>
      <c r="D30" s="8">
        <v>1</v>
      </c>
      <c r="E30" s="8">
        <v>1</v>
      </c>
    </row>
    <row r="31" spans="1:5" x14ac:dyDescent="0.35">
      <c r="A31" t="s">
        <v>36</v>
      </c>
      <c r="B31" s="8">
        <v>0.73466666666666669</v>
      </c>
      <c r="C31" s="8">
        <v>0.90249999999999997</v>
      </c>
      <c r="D31" s="8">
        <v>0.84199999999999997</v>
      </c>
      <c r="E31" s="8">
        <v>0.96250000000000002</v>
      </c>
    </row>
    <row r="32" spans="1:5" x14ac:dyDescent="0.35">
      <c r="A32" t="s">
        <v>37</v>
      </c>
      <c r="B32" s="8">
        <v>1</v>
      </c>
      <c r="C32" s="8">
        <v>1</v>
      </c>
      <c r="D32" s="8">
        <v>1</v>
      </c>
      <c r="E32" s="8">
        <v>1</v>
      </c>
    </row>
    <row r="33" spans="1:5" x14ac:dyDescent="0.35">
      <c r="A33" t="s">
        <v>38</v>
      </c>
      <c r="B33" s="8">
        <v>0.99983333333333335</v>
      </c>
      <c r="C33" s="8">
        <v>1</v>
      </c>
      <c r="D33" s="8">
        <v>0.99983333333333335</v>
      </c>
      <c r="E33" s="8">
        <v>1</v>
      </c>
    </row>
    <row r="34" spans="1:5" x14ac:dyDescent="0.35">
      <c r="A34" t="s">
        <v>39</v>
      </c>
      <c r="B34" s="8">
        <v>1</v>
      </c>
      <c r="C34" s="8">
        <v>1</v>
      </c>
      <c r="D34" s="8">
        <v>1</v>
      </c>
      <c r="E34" s="8">
        <v>1</v>
      </c>
    </row>
    <row r="35" spans="1:5" x14ac:dyDescent="0.35">
      <c r="A35" t="s">
        <v>40</v>
      </c>
      <c r="B35" s="8">
        <v>1</v>
      </c>
      <c r="C35" s="8">
        <v>1</v>
      </c>
      <c r="D35" s="8">
        <v>1</v>
      </c>
      <c r="E35" s="8">
        <v>1</v>
      </c>
    </row>
    <row r="36" spans="1:5" x14ac:dyDescent="0.35">
      <c r="A36" t="s">
        <v>41</v>
      </c>
      <c r="B36" s="8">
        <v>0.99199999999999999</v>
      </c>
      <c r="C36" s="8">
        <v>0.9996666666666667</v>
      </c>
      <c r="D36" s="8">
        <v>0.48716666666666669</v>
      </c>
      <c r="E36" s="8">
        <v>0.74183333333333334</v>
      </c>
    </row>
    <row r="37" spans="1:5" x14ac:dyDescent="0.35">
      <c r="A37" t="s">
        <v>42</v>
      </c>
      <c r="B37" s="8">
        <v>1</v>
      </c>
      <c r="C37" s="8">
        <v>1</v>
      </c>
      <c r="D37" s="8">
        <v>1</v>
      </c>
      <c r="E37" s="8">
        <v>1</v>
      </c>
    </row>
    <row r="38" spans="1:5" x14ac:dyDescent="0.35">
      <c r="A38" t="s">
        <v>43</v>
      </c>
      <c r="B38" s="8">
        <v>0.74816666666666665</v>
      </c>
      <c r="C38" s="8">
        <v>0.91183333333333338</v>
      </c>
      <c r="D38" s="8">
        <v>0.77800000000000002</v>
      </c>
      <c r="E38" s="8">
        <v>0.92066666666666663</v>
      </c>
    </row>
    <row r="39" spans="1:5" x14ac:dyDescent="0.35">
      <c r="A39" t="s">
        <v>44</v>
      </c>
      <c r="B39" s="8">
        <v>0.99983333333333335</v>
      </c>
      <c r="C39" s="8">
        <v>1</v>
      </c>
      <c r="D39" s="8">
        <v>1</v>
      </c>
      <c r="E39" s="8">
        <v>1</v>
      </c>
    </row>
    <row r="40" spans="1:5" x14ac:dyDescent="0.35">
      <c r="A40" t="s">
        <v>45</v>
      </c>
      <c r="B40" s="8">
        <v>1</v>
      </c>
      <c r="C40" s="8">
        <v>1</v>
      </c>
      <c r="D40" s="8">
        <v>1</v>
      </c>
      <c r="E40" s="8"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8747B-EEED-49B4-B511-CCFFA115A759}">
  <sheetPr codeName="Tabelle6"/>
  <dimension ref="A1:B13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28.6328125" customWidth="1"/>
    <col min="2" max="2" width="14.6328125" customWidth="1"/>
  </cols>
  <sheetData>
    <row r="1" spans="1:2" x14ac:dyDescent="0.35">
      <c r="A1" s="2" t="s">
        <v>148</v>
      </c>
      <c r="B1" s="2" t="s">
        <v>149</v>
      </c>
    </row>
    <row r="2" spans="1:2" x14ac:dyDescent="0.35">
      <c r="A2" t="s">
        <v>4</v>
      </c>
      <c r="B2" s="3">
        <v>30</v>
      </c>
    </row>
    <row r="3" spans="1:2" x14ac:dyDescent="0.35">
      <c r="A3" t="s">
        <v>5</v>
      </c>
      <c r="B3" s="3">
        <v>9</v>
      </c>
    </row>
    <row r="4" spans="1:2" x14ac:dyDescent="0.35">
      <c r="A4" t="s">
        <v>150</v>
      </c>
      <c r="B4" s="3">
        <v>90</v>
      </c>
    </row>
    <row r="5" spans="1:2" x14ac:dyDescent="0.35">
      <c r="A5" t="s">
        <v>151</v>
      </c>
      <c r="B5" s="3">
        <v>10</v>
      </c>
    </row>
    <row r="6" spans="1:2" x14ac:dyDescent="0.35">
      <c r="A6" t="s">
        <v>152</v>
      </c>
      <c r="B6" s="3">
        <v>10</v>
      </c>
    </row>
    <row r="7" spans="1:2" x14ac:dyDescent="0.35">
      <c r="A7" t="s">
        <v>153</v>
      </c>
      <c r="B7" s="3">
        <v>3</v>
      </c>
    </row>
    <row r="8" spans="1:2" x14ac:dyDescent="0.35">
      <c r="A8" t="s">
        <v>154</v>
      </c>
      <c r="B8" s="3">
        <v>3</v>
      </c>
    </row>
    <row r="9" spans="1:2" x14ac:dyDescent="0.35">
      <c r="A9" t="s">
        <v>155</v>
      </c>
      <c r="B9" s="3">
        <v>3</v>
      </c>
    </row>
    <row r="10" spans="1:2" x14ac:dyDescent="0.35">
      <c r="A10" t="s">
        <v>156</v>
      </c>
      <c r="B10" s="3">
        <v>70</v>
      </c>
    </row>
    <row r="11" spans="1:2" x14ac:dyDescent="0.35">
      <c r="A11" t="s">
        <v>157</v>
      </c>
      <c r="B11" s="3">
        <v>3</v>
      </c>
    </row>
    <row r="12" spans="1:2" x14ac:dyDescent="0.35">
      <c r="A12" t="s">
        <v>158</v>
      </c>
      <c r="B12" s="3">
        <v>3</v>
      </c>
    </row>
    <row r="13" spans="1:2" x14ac:dyDescent="0.35">
      <c r="A13" t="s">
        <v>159</v>
      </c>
      <c r="B13" s="3">
        <v>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3F24B-3344-4F35-B5D5-FDC248F63F91}">
  <sheetPr codeName="Tabelle7"/>
  <dimension ref="A1:G40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6.6328125" customWidth="1"/>
    <col min="2" max="4" width="12.6328125" customWidth="1"/>
    <col min="5" max="7" width="16.6328125" customWidth="1"/>
  </cols>
  <sheetData>
    <row r="1" spans="1:7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35">
      <c r="A2" s="1" t="s">
        <v>7</v>
      </c>
      <c r="B2" s="4">
        <v>90</v>
      </c>
      <c r="C2" s="5">
        <v>10</v>
      </c>
      <c r="D2" s="6">
        <v>10</v>
      </c>
      <c r="E2" s="3">
        <v>0</v>
      </c>
      <c r="F2" s="3">
        <v>0</v>
      </c>
      <c r="G2" s="3" t="b">
        <v>1</v>
      </c>
    </row>
    <row r="3" spans="1:7" x14ac:dyDescent="0.35">
      <c r="A3" s="1" t="s">
        <v>8</v>
      </c>
      <c r="B3" s="4">
        <v>63.6</v>
      </c>
      <c r="C3" s="5">
        <v>34.200000000000003</v>
      </c>
      <c r="D3" s="6">
        <v>2.2000000000000002</v>
      </c>
      <c r="E3" s="3">
        <v>0</v>
      </c>
      <c r="F3" s="3">
        <v>0</v>
      </c>
      <c r="G3" s="3" t="b">
        <v>1</v>
      </c>
    </row>
    <row r="4" spans="1:7" x14ac:dyDescent="0.35">
      <c r="A4" s="1" t="s">
        <v>9</v>
      </c>
      <c r="B4" s="4">
        <v>90</v>
      </c>
      <c r="C4" s="5">
        <v>10</v>
      </c>
      <c r="D4" s="6">
        <v>10</v>
      </c>
      <c r="E4" s="3">
        <v>1</v>
      </c>
      <c r="F4" s="3">
        <v>1</v>
      </c>
      <c r="G4" s="3" t="b">
        <v>1</v>
      </c>
    </row>
    <row r="5" spans="1:7" x14ac:dyDescent="0.35">
      <c r="A5" s="1" t="s">
        <v>10</v>
      </c>
      <c r="B5" s="4">
        <v>90</v>
      </c>
      <c r="C5" s="5">
        <v>10</v>
      </c>
      <c r="D5" s="6">
        <v>10</v>
      </c>
      <c r="E5" s="3">
        <v>1</v>
      </c>
      <c r="F5" s="3">
        <v>1</v>
      </c>
      <c r="G5" s="3" t="b">
        <v>1</v>
      </c>
    </row>
    <row r="6" spans="1:7" x14ac:dyDescent="0.35">
      <c r="A6" s="1" t="s">
        <v>11</v>
      </c>
      <c r="B6" s="4">
        <v>90</v>
      </c>
      <c r="C6" s="5">
        <v>10</v>
      </c>
      <c r="D6" s="6">
        <v>10</v>
      </c>
      <c r="E6" s="3">
        <v>30</v>
      </c>
      <c r="F6" s="3">
        <v>9</v>
      </c>
      <c r="G6" s="3" t="b">
        <v>0</v>
      </c>
    </row>
    <row r="7" spans="1:7" x14ac:dyDescent="0.35">
      <c r="A7" s="1" t="s">
        <v>12</v>
      </c>
      <c r="B7" s="4">
        <v>90</v>
      </c>
      <c r="C7" s="5">
        <v>10</v>
      </c>
      <c r="D7" s="6">
        <v>10</v>
      </c>
      <c r="E7" s="3">
        <v>0</v>
      </c>
      <c r="F7" s="3">
        <v>0</v>
      </c>
      <c r="G7" s="3" t="b">
        <v>1</v>
      </c>
    </row>
    <row r="8" spans="1:7" x14ac:dyDescent="0.35">
      <c r="A8" s="1" t="s">
        <v>13</v>
      </c>
      <c r="B8" s="4">
        <v>90</v>
      </c>
      <c r="C8" s="5">
        <v>10</v>
      </c>
      <c r="D8" s="6">
        <v>10</v>
      </c>
      <c r="E8" s="3">
        <v>30</v>
      </c>
      <c r="F8" s="3">
        <v>9</v>
      </c>
      <c r="G8" s="3" t="b">
        <v>0</v>
      </c>
    </row>
    <row r="9" spans="1:7" x14ac:dyDescent="0.35">
      <c r="A9" s="1" t="s">
        <v>14</v>
      </c>
      <c r="B9" s="4">
        <v>90</v>
      </c>
      <c r="C9" s="5">
        <v>10</v>
      </c>
      <c r="D9" s="6">
        <v>10</v>
      </c>
      <c r="E9" s="3">
        <v>30</v>
      </c>
      <c r="F9" s="3">
        <v>9</v>
      </c>
      <c r="G9" s="3" t="b">
        <v>1</v>
      </c>
    </row>
    <row r="10" spans="1:7" x14ac:dyDescent="0.35">
      <c r="A10" s="1" t="s">
        <v>15</v>
      </c>
      <c r="B10" s="4">
        <v>90</v>
      </c>
      <c r="C10" s="5">
        <v>10</v>
      </c>
      <c r="D10" s="6">
        <v>10</v>
      </c>
      <c r="E10" s="3">
        <v>1</v>
      </c>
      <c r="F10" s="3">
        <v>1</v>
      </c>
      <c r="G10" s="3" t="b">
        <v>1</v>
      </c>
    </row>
    <row r="11" spans="1:7" x14ac:dyDescent="0.35">
      <c r="A11" s="1" t="s">
        <v>16</v>
      </c>
      <c r="B11" s="4">
        <v>90</v>
      </c>
      <c r="C11" s="5">
        <v>10</v>
      </c>
      <c r="D11" s="6">
        <v>10</v>
      </c>
      <c r="E11" s="3">
        <v>1</v>
      </c>
      <c r="F11" s="3">
        <v>1</v>
      </c>
      <c r="G11" s="3" t="b">
        <v>1</v>
      </c>
    </row>
    <row r="12" spans="1:7" x14ac:dyDescent="0.35">
      <c r="A12" s="1" t="s">
        <v>17</v>
      </c>
      <c r="B12" s="4">
        <v>96</v>
      </c>
      <c r="C12" s="5">
        <v>3</v>
      </c>
      <c r="D12" s="6">
        <v>1</v>
      </c>
      <c r="E12" s="3">
        <v>0</v>
      </c>
      <c r="F12" s="3">
        <v>0</v>
      </c>
      <c r="G12" s="3" t="b">
        <v>1</v>
      </c>
    </row>
    <row r="13" spans="1:7" x14ac:dyDescent="0.35">
      <c r="A13" s="1" t="s">
        <v>18</v>
      </c>
      <c r="B13" s="4">
        <v>90</v>
      </c>
      <c r="C13" s="5">
        <v>10</v>
      </c>
      <c r="D13" s="6">
        <v>10</v>
      </c>
      <c r="E13" s="3">
        <v>1</v>
      </c>
      <c r="F13" s="3">
        <v>1</v>
      </c>
      <c r="G13" s="3" t="b">
        <v>1</v>
      </c>
    </row>
    <row r="14" spans="1:7" x14ac:dyDescent="0.35">
      <c r="A14" s="1" t="s">
        <v>19</v>
      </c>
      <c r="B14" s="4">
        <v>85</v>
      </c>
      <c r="C14" s="5">
        <v>10</v>
      </c>
      <c r="D14" s="6">
        <v>15</v>
      </c>
      <c r="E14" s="3">
        <v>1</v>
      </c>
      <c r="F14" s="3">
        <v>1</v>
      </c>
      <c r="G14" s="3" t="b">
        <v>1</v>
      </c>
    </row>
    <row r="15" spans="1:7" x14ac:dyDescent="0.35">
      <c r="A15" s="1" t="s">
        <v>20</v>
      </c>
      <c r="B15" s="4">
        <v>90</v>
      </c>
      <c r="C15" s="5">
        <v>10</v>
      </c>
      <c r="D15" s="6">
        <v>10</v>
      </c>
      <c r="E15" s="3">
        <v>0</v>
      </c>
      <c r="F15" s="3">
        <v>0</v>
      </c>
      <c r="G15" s="3" t="b">
        <v>1</v>
      </c>
    </row>
    <row r="16" spans="1:7" x14ac:dyDescent="0.35">
      <c r="A16" s="1" t="s">
        <v>21</v>
      </c>
      <c r="B16" s="4">
        <v>90</v>
      </c>
      <c r="C16" s="5">
        <v>10</v>
      </c>
      <c r="D16" s="6">
        <v>10</v>
      </c>
      <c r="E16" s="3">
        <v>30</v>
      </c>
      <c r="F16" s="3">
        <v>9</v>
      </c>
      <c r="G16" s="3" t="b">
        <v>0</v>
      </c>
    </row>
    <row r="17" spans="1:7" x14ac:dyDescent="0.35">
      <c r="A17" s="1" t="s">
        <v>22</v>
      </c>
      <c r="B17" s="4">
        <v>85</v>
      </c>
      <c r="C17" s="5">
        <v>10</v>
      </c>
      <c r="D17" s="6">
        <v>15</v>
      </c>
      <c r="E17" s="3">
        <v>1</v>
      </c>
      <c r="F17" s="3">
        <v>1</v>
      </c>
      <c r="G17" s="3" t="b">
        <v>1</v>
      </c>
    </row>
    <row r="18" spans="1:7" x14ac:dyDescent="0.35">
      <c r="A18" s="1" t="s">
        <v>23</v>
      </c>
      <c r="B18" s="4">
        <v>90</v>
      </c>
      <c r="C18" s="5">
        <v>10</v>
      </c>
      <c r="D18" s="6">
        <v>10</v>
      </c>
      <c r="E18" s="3">
        <v>0</v>
      </c>
      <c r="F18" s="3">
        <v>0</v>
      </c>
      <c r="G18" s="3" t="b">
        <v>1</v>
      </c>
    </row>
    <row r="19" spans="1:7" x14ac:dyDescent="0.35">
      <c r="A19" s="1" t="s">
        <v>24</v>
      </c>
      <c r="B19" s="4">
        <v>90</v>
      </c>
      <c r="C19" s="5">
        <v>10</v>
      </c>
      <c r="D19" s="6">
        <v>10</v>
      </c>
      <c r="E19" s="3">
        <v>0</v>
      </c>
      <c r="F19" s="3">
        <v>0</v>
      </c>
      <c r="G19" s="3" t="b">
        <v>1</v>
      </c>
    </row>
    <row r="20" spans="1:7" x14ac:dyDescent="0.35">
      <c r="A20" s="1" t="s">
        <v>25</v>
      </c>
      <c r="B20" s="4">
        <v>90</v>
      </c>
      <c r="C20" s="5">
        <v>10</v>
      </c>
      <c r="D20" s="6">
        <v>10</v>
      </c>
      <c r="E20" s="3">
        <v>1</v>
      </c>
      <c r="F20" s="3">
        <v>1</v>
      </c>
      <c r="G20" s="3" t="b">
        <v>1</v>
      </c>
    </row>
    <row r="21" spans="1:7" x14ac:dyDescent="0.35">
      <c r="A21" s="1" t="s">
        <v>26</v>
      </c>
      <c r="B21" s="4">
        <v>90</v>
      </c>
      <c r="C21" s="5">
        <v>10</v>
      </c>
      <c r="D21" s="6">
        <v>10</v>
      </c>
      <c r="E21" s="3">
        <v>0</v>
      </c>
      <c r="F21" s="3">
        <v>0</v>
      </c>
      <c r="G21" s="3" t="b">
        <v>1</v>
      </c>
    </row>
    <row r="22" spans="1:7" x14ac:dyDescent="0.35">
      <c r="A22" s="1" t="s">
        <v>27</v>
      </c>
      <c r="B22" s="4">
        <v>85</v>
      </c>
      <c r="C22" s="5">
        <v>10</v>
      </c>
      <c r="D22" s="6">
        <v>15</v>
      </c>
      <c r="E22" s="3">
        <v>0</v>
      </c>
      <c r="F22" s="3">
        <v>0</v>
      </c>
      <c r="G22" s="3" t="b">
        <v>1</v>
      </c>
    </row>
    <row r="23" spans="1:7" x14ac:dyDescent="0.35">
      <c r="A23" s="1" t="s">
        <v>28</v>
      </c>
      <c r="B23" s="4">
        <v>65</v>
      </c>
      <c r="C23" s="5">
        <v>5</v>
      </c>
      <c r="D23" s="6">
        <v>30</v>
      </c>
      <c r="E23" s="3">
        <v>0</v>
      </c>
      <c r="F23" s="3">
        <v>0</v>
      </c>
      <c r="G23" s="3" t="b">
        <v>1</v>
      </c>
    </row>
    <row r="24" spans="1:7" x14ac:dyDescent="0.35">
      <c r="A24" s="1" t="s">
        <v>29</v>
      </c>
      <c r="B24" s="4">
        <v>90</v>
      </c>
      <c r="C24" s="5">
        <v>10</v>
      </c>
      <c r="D24" s="6">
        <v>10</v>
      </c>
      <c r="E24" s="3">
        <v>1</v>
      </c>
      <c r="F24" s="3">
        <v>1</v>
      </c>
      <c r="G24" s="3" t="b">
        <v>0</v>
      </c>
    </row>
    <row r="25" spans="1:7" x14ac:dyDescent="0.35">
      <c r="A25" s="1" t="s">
        <v>30</v>
      </c>
      <c r="B25" s="4">
        <v>90</v>
      </c>
      <c r="C25" s="5">
        <v>10</v>
      </c>
      <c r="D25" s="6">
        <v>10</v>
      </c>
      <c r="E25" s="3">
        <v>1</v>
      </c>
      <c r="F25" s="3">
        <v>1</v>
      </c>
      <c r="G25" s="3" t="b">
        <v>1</v>
      </c>
    </row>
    <row r="26" spans="1:7" x14ac:dyDescent="0.35">
      <c r="A26" s="1" t="s">
        <v>31</v>
      </c>
      <c r="B26" s="4">
        <v>90</v>
      </c>
      <c r="C26" s="5">
        <v>10</v>
      </c>
      <c r="D26" s="6">
        <v>10</v>
      </c>
      <c r="E26" s="3">
        <v>1</v>
      </c>
      <c r="F26" s="3">
        <v>1</v>
      </c>
      <c r="G26" s="3" t="b">
        <v>1</v>
      </c>
    </row>
    <row r="27" spans="1:7" x14ac:dyDescent="0.35">
      <c r="A27" s="1" t="s">
        <v>32</v>
      </c>
      <c r="B27" s="4">
        <v>90</v>
      </c>
      <c r="C27" s="5">
        <v>10</v>
      </c>
      <c r="D27" s="6">
        <v>10</v>
      </c>
      <c r="E27" s="3">
        <v>0</v>
      </c>
      <c r="F27" s="3">
        <v>0</v>
      </c>
      <c r="G27" s="3" t="b">
        <v>1</v>
      </c>
    </row>
    <row r="28" spans="1:7" x14ac:dyDescent="0.35">
      <c r="A28" s="1" t="s">
        <v>33</v>
      </c>
      <c r="B28" s="4">
        <v>85</v>
      </c>
      <c r="C28" s="5">
        <v>10</v>
      </c>
      <c r="D28" s="6">
        <v>15</v>
      </c>
      <c r="E28" s="3">
        <v>0</v>
      </c>
      <c r="F28" s="3">
        <v>0</v>
      </c>
      <c r="G28" s="3" t="b">
        <v>1</v>
      </c>
    </row>
    <row r="29" spans="1:7" x14ac:dyDescent="0.35">
      <c r="A29" s="1" t="s">
        <v>34</v>
      </c>
      <c r="B29" s="4">
        <v>90</v>
      </c>
      <c r="C29" s="5">
        <v>10</v>
      </c>
      <c r="D29" s="6">
        <v>10</v>
      </c>
      <c r="E29" s="3">
        <v>1</v>
      </c>
      <c r="F29" s="3">
        <v>1</v>
      </c>
      <c r="G29" s="3" t="b">
        <v>1</v>
      </c>
    </row>
    <row r="30" spans="1:7" x14ac:dyDescent="0.35">
      <c r="A30" s="1" t="s">
        <v>35</v>
      </c>
      <c r="B30" s="4">
        <v>90</v>
      </c>
      <c r="C30" s="5">
        <v>10</v>
      </c>
      <c r="D30" s="6">
        <v>10</v>
      </c>
      <c r="E30" s="3">
        <v>0</v>
      </c>
      <c r="F30" s="3">
        <v>0</v>
      </c>
      <c r="G30" s="3" t="b">
        <v>1</v>
      </c>
    </row>
    <row r="31" spans="1:7" x14ac:dyDescent="0.35">
      <c r="A31" s="1" t="s">
        <v>36</v>
      </c>
      <c r="B31" s="4">
        <v>90</v>
      </c>
      <c r="C31" s="5">
        <v>10</v>
      </c>
      <c r="D31" s="6">
        <v>10</v>
      </c>
      <c r="E31" s="3">
        <v>1</v>
      </c>
      <c r="F31" s="3">
        <v>1</v>
      </c>
      <c r="G31" s="3" t="b">
        <v>1</v>
      </c>
    </row>
    <row r="32" spans="1:7" x14ac:dyDescent="0.35">
      <c r="A32" s="1" t="s">
        <v>37</v>
      </c>
      <c r="B32" s="4">
        <v>90</v>
      </c>
      <c r="C32" s="5">
        <v>10</v>
      </c>
      <c r="D32" s="6">
        <v>10</v>
      </c>
      <c r="E32" s="3">
        <v>0</v>
      </c>
      <c r="F32" s="3">
        <v>0</v>
      </c>
      <c r="G32" s="3" t="b">
        <v>1</v>
      </c>
    </row>
    <row r="33" spans="1:7" x14ac:dyDescent="0.35">
      <c r="A33" s="1" t="s">
        <v>38</v>
      </c>
      <c r="B33" s="4">
        <v>90</v>
      </c>
      <c r="C33" s="5">
        <v>10</v>
      </c>
      <c r="D33" s="6">
        <v>10</v>
      </c>
      <c r="E33" s="3">
        <v>0</v>
      </c>
      <c r="F33" s="3">
        <v>0</v>
      </c>
      <c r="G33" s="3" t="b">
        <v>1</v>
      </c>
    </row>
    <row r="34" spans="1:7" x14ac:dyDescent="0.35">
      <c r="A34" s="1" t="s">
        <v>39</v>
      </c>
      <c r="B34" s="4">
        <v>85</v>
      </c>
      <c r="C34" s="5">
        <v>10</v>
      </c>
      <c r="D34" s="6">
        <v>15</v>
      </c>
      <c r="E34" s="3">
        <v>0</v>
      </c>
      <c r="F34" s="3">
        <v>0</v>
      </c>
      <c r="G34" s="3" t="b">
        <v>1</v>
      </c>
    </row>
    <row r="35" spans="1:7" x14ac:dyDescent="0.35">
      <c r="A35" s="1" t="s">
        <v>40</v>
      </c>
      <c r="B35" s="4">
        <v>90</v>
      </c>
      <c r="C35" s="5">
        <v>10</v>
      </c>
      <c r="D35" s="6">
        <v>10</v>
      </c>
      <c r="E35" s="3">
        <v>0</v>
      </c>
      <c r="F35" s="3">
        <v>0</v>
      </c>
      <c r="G35" s="3" t="b">
        <v>1</v>
      </c>
    </row>
    <row r="36" spans="1:7" x14ac:dyDescent="0.35">
      <c r="A36" s="1" t="s">
        <v>41</v>
      </c>
      <c r="B36" s="4">
        <v>50</v>
      </c>
      <c r="C36" s="5">
        <v>25</v>
      </c>
      <c r="D36" s="6">
        <v>25</v>
      </c>
      <c r="E36" s="3">
        <v>30</v>
      </c>
      <c r="F36" s="3">
        <v>9</v>
      </c>
      <c r="G36" s="3" t="b">
        <v>1</v>
      </c>
    </row>
    <row r="37" spans="1:7" x14ac:dyDescent="0.35">
      <c r="A37" s="1" t="s">
        <v>42</v>
      </c>
      <c r="B37" s="4">
        <v>90</v>
      </c>
      <c r="C37" s="5">
        <v>10</v>
      </c>
      <c r="D37" s="6">
        <v>10</v>
      </c>
      <c r="E37" s="3">
        <v>0</v>
      </c>
      <c r="F37" s="3">
        <v>0</v>
      </c>
      <c r="G37" s="3" t="b">
        <v>1</v>
      </c>
    </row>
    <row r="38" spans="1:7" x14ac:dyDescent="0.35">
      <c r="A38" s="1" t="s">
        <v>43</v>
      </c>
      <c r="B38" s="4">
        <v>85</v>
      </c>
      <c r="C38" s="5">
        <v>10</v>
      </c>
      <c r="D38" s="6">
        <v>15</v>
      </c>
      <c r="E38" s="3">
        <v>1</v>
      </c>
      <c r="F38" s="3">
        <v>1</v>
      </c>
      <c r="G38" s="3" t="b">
        <v>1</v>
      </c>
    </row>
    <row r="39" spans="1:7" x14ac:dyDescent="0.35">
      <c r="A39" s="1" t="s">
        <v>44</v>
      </c>
      <c r="B39" s="4">
        <v>90</v>
      </c>
      <c r="C39" s="5">
        <v>10</v>
      </c>
      <c r="D39" s="6">
        <v>10</v>
      </c>
      <c r="E39" s="3">
        <v>0</v>
      </c>
      <c r="F39" s="3">
        <v>0</v>
      </c>
      <c r="G39" s="3" t="b">
        <v>1</v>
      </c>
    </row>
    <row r="40" spans="1:7" x14ac:dyDescent="0.35">
      <c r="A40" s="1" t="s">
        <v>45</v>
      </c>
      <c r="B40" s="4">
        <v>90</v>
      </c>
      <c r="C40" s="5">
        <v>10</v>
      </c>
      <c r="D40" s="6">
        <v>10</v>
      </c>
      <c r="E40" s="3">
        <v>0</v>
      </c>
      <c r="F40" s="3">
        <v>0</v>
      </c>
      <c r="G40" s="3" t="b"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class_view</vt:lpstr>
      <vt:lpstr>base_stats</vt:lpstr>
      <vt:lpstr>attributes</vt:lpstr>
      <vt:lpstr>abilities</vt:lpstr>
      <vt:lpstr>class_risk</vt:lpstr>
      <vt:lpstr>meta</vt:lpstr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Kurt Bruns</dc:creator>
  <cp:lastModifiedBy>Kurt Bruns</cp:lastModifiedBy>
  <dcterms:created xsi:type="dcterms:W3CDTF">2026-03-25T01:02:15Z</dcterms:created>
  <dcterms:modified xsi:type="dcterms:W3CDTF">2026-03-25T01:02:20Z</dcterms:modified>
</cp:coreProperties>
</file>